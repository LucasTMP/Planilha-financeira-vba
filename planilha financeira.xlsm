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Lucas\Desktop\Criacoes\Aplicacoes\Parcelas Excel\"/>
    </mc:Choice>
  </mc:AlternateContent>
  <xr:revisionPtr revIDLastSave="0" documentId="13_ncr:1_{E52CC33B-2D79-40F0-9EEA-D8FA09C25D62}" xr6:coauthVersionLast="45" xr6:coauthVersionMax="46" xr10:uidLastSave="{00000000-0000-0000-0000-000000000000}"/>
  <bookViews>
    <workbookView xWindow="-120" yWindow="-120" windowWidth="20730" windowHeight="11160" tabRatio="596" xr2:uid="{67DCE4D7-D92A-4D41-8B60-EAFEFB230C13}"/>
  </bookViews>
  <sheets>
    <sheet name="Cadastros" sheetId="1" r:id="rId1"/>
    <sheet name="Financeiro" sheetId="2" r:id="rId2"/>
    <sheet name="DashBoard" sheetId="4" r:id="rId3"/>
    <sheet name="Manual dashboard" sheetId="5" r:id="rId4"/>
    <sheet name="Parâmetros" sheetId="3" r:id="rId5"/>
  </sheets>
  <functionGroups builtInGroupCount="19"/>
  <definedNames>
    <definedName name="_xlcn.WorksheetConnection_25_03__Planilha_financeira_1.xlsmTabela61" hidden="1">Tabela6[]</definedName>
    <definedName name="_xlcn.WorksheetConnection_25_03__Planilha_financeira_1.xlsmTabela621" hidden="1">Tabela62[]</definedName>
    <definedName name="CMediaPCL">Parâmetros!$AA$3</definedName>
    <definedName name="MediaPCL">Parâmetros!$Z$3</definedName>
    <definedName name="SomaPCL">Parâmetros!$AE$3</definedName>
    <definedName name="TabelaFinanceiro">Financeiro!$C$13:$P$35</definedName>
  </definedNames>
  <calcPr calcId="181029"/>
  <pivotCaches>
    <pivotCache cacheId="5" r:id="rId6"/>
    <pivotCache cacheId="12" r:id="rId7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ela6" name="Tabela6" connection="WorksheetConnection_25_03_-_Planilha_financeira_1.xlsm!Tabela6"/>
          <x15:modelTable id="Tabela62" name="Tabela62" connection="WorksheetConnection_25_03_-_Planilha_financeira_1.xlsm!Tabela62"/>
        </x15:modelTables>
        <x15:modelRelationships>
          <x15:modelRelationship fromTable="Tabela6" fromColumn="Nome" toTable="Tabela62" toColumn="Nome"/>
        </x15:modelRelationships>
      </x15:dataModel>
    </ext>
  </extLst>
</workbook>
</file>

<file path=xl/calcChain.xml><?xml version="1.0" encoding="utf-8"?>
<calcChain xmlns="http://schemas.openxmlformats.org/spreadsheetml/2006/main">
  <c r="G35" i="2" l="1"/>
  <c r="H35" i="2" s="1"/>
  <c r="Q35" i="2"/>
  <c r="E35" i="1"/>
  <c r="N35" i="2" l="1"/>
  <c r="O35" i="2" s="1"/>
  <c r="D35" i="2" s="1"/>
  <c r="H35" i="1" s="1"/>
  <c r="Q27" i="2"/>
  <c r="Q32" i="2"/>
  <c r="Q17" i="2"/>
  <c r="Q14" i="2"/>
  <c r="Q29" i="2"/>
  <c r="Q20" i="2"/>
  <c r="Q33" i="2"/>
  <c r="Q31" i="2"/>
  <c r="Q16" i="2"/>
  <c r="Q34" i="2"/>
  <c r="Q18" i="2"/>
  <c r="Q21" i="2"/>
  <c r="Q24" i="2"/>
  <c r="Q15" i="2"/>
  <c r="Q23" i="2"/>
  <c r="Q28" i="2"/>
  <c r="Q13" i="2"/>
  <c r="Q22" i="2"/>
  <c r="Q25" i="2"/>
  <c r="Q26" i="2"/>
  <c r="Q19" i="2"/>
  <c r="Q30" i="2"/>
  <c r="P35" i="2" l="1"/>
  <c r="G33" i="2"/>
  <c r="N33" i="2" s="1"/>
  <c r="O33" i="2" s="1"/>
  <c r="D33" i="2" s="1"/>
  <c r="H33" i="1" s="1"/>
  <c r="E33" i="1"/>
  <c r="G32" i="2"/>
  <c r="N32" i="2" s="1"/>
  <c r="O32" i="2" s="1"/>
  <c r="D32" i="2" s="1"/>
  <c r="H32" i="1" s="1"/>
  <c r="E32" i="1"/>
  <c r="G29" i="2"/>
  <c r="N29" i="2" s="1"/>
  <c r="E29" i="1"/>
  <c r="G31" i="2"/>
  <c r="N31" i="2" s="1"/>
  <c r="O31" i="2" s="1"/>
  <c r="D31" i="2" s="1"/>
  <c r="H31" i="1" s="1"/>
  <c r="E31" i="1"/>
  <c r="G30" i="2"/>
  <c r="N30" i="2" s="1"/>
  <c r="O30" i="2" s="1"/>
  <c r="D30" i="2" s="1"/>
  <c r="H30" i="1" s="1"/>
  <c r="E30" i="1"/>
  <c r="G28" i="2"/>
  <c r="N28" i="2" s="1"/>
  <c r="O28" i="2" s="1"/>
  <c r="D28" i="2" s="1"/>
  <c r="H28" i="1" s="1"/>
  <c r="E28" i="1"/>
  <c r="G27" i="2"/>
  <c r="N27" i="2" s="1"/>
  <c r="O27" i="2" s="1"/>
  <c r="D27" i="2" s="1"/>
  <c r="H27" i="1" s="1"/>
  <c r="E27" i="1"/>
  <c r="G34" i="2"/>
  <c r="N34" i="2" s="1"/>
  <c r="O34" i="2" s="1"/>
  <c r="D34" i="2" s="1"/>
  <c r="H34" i="1" s="1"/>
  <c r="E34" i="1"/>
  <c r="G24" i="2"/>
  <c r="N24" i="2" s="1"/>
  <c r="O24" i="2" s="1"/>
  <c r="D24" i="2" s="1"/>
  <c r="H24" i="1" s="1"/>
  <c r="E24" i="1"/>
  <c r="G26" i="2"/>
  <c r="N26" i="2" s="1"/>
  <c r="O26" i="2" s="1"/>
  <c r="D26" i="2" s="1"/>
  <c r="H26" i="1" s="1"/>
  <c r="E26" i="1"/>
  <c r="G25" i="2"/>
  <c r="N25" i="2" s="1"/>
  <c r="E25" i="1"/>
  <c r="G23" i="2"/>
  <c r="N23" i="2" s="1"/>
  <c r="O23" i="2" s="1"/>
  <c r="D23" i="2" s="1"/>
  <c r="H23" i="1" s="1"/>
  <c r="E23" i="1"/>
  <c r="G22" i="2"/>
  <c r="N22" i="2" s="1"/>
  <c r="O22" i="2" s="1"/>
  <c r="E22" i="1"/>
  <c r="D2" i="3"/>
  <c r="AA3" i="3"/>
  <c r="BK8" i="3"/>
  <c r="CG4" i="3"/>
  <c r="AX4" i="3"/>
  <c r="H33" i="2" l="1"/>
  <c r="H32" i="2"/>
  <c r="H34" i="2"/>
  <c r="P33" i="2"/>
  <c r="H30" i="2"/>
  <c r="H29" i="2"/>
  <c r="P32" i="2"/>
  <c r="H27" i="2"/>
  <c r="H31" i="2"/>
  <c r="O29" i="2"/>
  <c r="D29" i="2" s="1"/>
  <c r="H29" i="1" s="1"/>
  <c r="P31" i="2"/>
  <c r="H28" i="2"/>
  <c r="P30" i="2"/>
  <c r="P28" i="2"/>
  <c r="P27" i="2"/>
  <c r="H24" i="2"/>
  <c r="P34" i="2"/>
  <c r="H26" i="2"/>
  <c r="P24" i="2"/>
  <c r="H25" i="2"/>
  <c r="H22" i="2"/>
  <c r="P26" i="2"/>
  <c r="H23" i="2"/>
  <c r="O25" i="2"/>
  <c r="D25" i="2" s="1"/>
  <c r="H25" i="1" s="1"/>
  <c r="D22" i="2"/>
  <c r="H22" i="1" s="1"/>
  <c r="P23" i="2"/>
  <c r="P22" i="2"/>
  <c r="G17" i="2"/>
  <c r="H17" i="2" s="1"/>
  <c r="G16" i="2"/>
  <c r="H16" i="2" s="1"/>
  <c r="E16" i="1"/>
  <c r="G20" i="2"/>
  <c r="H20" i="2" s="1"/>
  <c r="E20" i="1"/>
  <c r="G21" i="2"/>
  <c r="H21" i="2" s="1"/>
  <c r="E21" i="1"/>
  <c r="G19" i="2"/>
  <c r="H19" i="2" s="1"/>
  <c r="E19" i="1"/>
  <c r="G18" i="2"/>
  <c r="H18" i="2" s="1"/>
  <c r="E18" i="1"/>
  <c r="E17" i="1"/>
  <c r="P29" i="2" l="1"/>
  <c r="P25" i="2"/>
  <c r="N17" i="2"/>
  <c r="O17" i="2" s="1"/>
  <c r="D17" i="2" s="1"/>
  <c r="H17" i="1" s="1"/>
  <c r="N18" i="2"/>
  <c r="O18" i="2" s="1"/>
  <c r="D18" i="2" s="1"/>
  <c r="H18" i="1" s="1"/>
  <c r="N16" i="2"/>
  <c r="O16" i="2" s="1"/>
  <c r="D16" i="2" s="1"/>
  <c r="H16" i="1" s="1"/>
  <c r="N19" i="2"/>
  <c r="O19" i="2" s="1"/>
  <c r="D19" i="2" s="1"/>
  <c r="H19" i="1" s="1"/>
  <c r="N20" i="2"/>
  <c r="O20" i="2" s="1"/>
  <c r="D20" i="2" s="1"/>
  <c r="H20" i="1" s="1"/>
  <c r="N21" i="2"/>
  <c r="O21" i="2" s="1"/>
  <c r="D21" i="2" s="1"/>
  <c r="H21" i="1" s="1"/>
  <c r="E14" i="1"/>
  <c r="G14" i="2"/>
  <c r="H14" i="2" s="1"/>
  <c r="G15" i="2"/>
  <c r="H15" i="2" s="1"/>
  <c r="E15" i="1"/>
  <c r="N15" i="2" l="1"/>
  <c r="O15" i="2" s="1"/>
  <c r="D15" i="2" s="1"/>
  <c r="H15" i="1" s="1"/>
  <c r="N14" i="2"/>
  <c r="O14" i="2" s="1"/>
  <c r="D14" i="2" s="1"/>
  <c r="H14" i="1" s="1"/>
  <c r="P17" i="2"/>
  <c r="P16" i="2"/>
  <c r="P20" i="2"/>
  <c r="P21" i="2"/>
  <c r="P19" i="2"/>
  <c r="P18" i="2"/>
  <c r="G13" i="2"/>
  <c r="H13" i="2" s="1"/>
  <c r="E13" i="1"/>
  <c r="P14" i="2" l="1"/>
  <c r="N13" i="2"/>
  <c r="O13" i="2" s="1"/>
  <c r="D13" i="2" s="1"/>
  <c r="H13" i="1" s="1"/>
  <c r="P15" i="2"/>
  <c r="AI4" i="3"/>
  <c r="V3" i="3"/>
  <c r="R3" i="3"/>
  <c r="M3" i="3"/>
  <c r="AF3" i="3"/>
  <c r="P13" i="2" l="1"/>
  <c r="BC4" i="3"/>
  <c r="BQ3" i="3" l="1"/>
  <c r="BQ1" i="3"/>
  <c r="BQ2" i="3"/>
  <c r="AP4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9DB6663-5BF3-40E8-A4E8-A9A4105F3F14}" keepAlive="1" name="ThisWorkbookDataModel" description="Modelo de Dados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6E19AA41-69AE-47D6-87AD-007DA46516AC}" name="WorksheetConnection_25_03_-_Planilha_financeira_1.xlsm!Tabela6" type="102" refreshedVersion="6" minRefreshableVersion="5">
    <extLst>
      <ext xmlns:x15="http://schemas.microsoft.com/office/spreadsheetml/2010/11/main" uri="{DE250136-89BD-433C-8126-D09CA5730AF9}">
        <x15:connection id="Tabela6">
          <x15:rangePr sourceName="_xlcn.WorksheetConnection_25_03__Planilha_financeira_1.xlsmTabela61"/>
        </x15:connection>
      </ext>
    </extLst>
  </connection>
  <connection id="3" xr16:uid="{6A02E013-134F-4260-A152-7D3A0020614F}" name="WorksheetConnection_25_03_-_Planilha_financeira_1.xlsm!Tabela62" type="102" refreshedVersion="6" minRefreshableVersion="5">
    <extLst>
      <ext xmlns:x15="http://schemas.microsoft.com/office/spreadsheetml/2010/11/main" uri="{DE250136-89BD-433C-8126-D09CA5730AF9}">
        <x15:connection id="Tabela62">
          <x15:rangePr sourceName="_xlcn.WorksheetConnection_25_03__Planilha_financeira_1.xlsmTabela621"/>
        </x15:connection>
      </ext>
    </extLst>
  </connection>
</connections>
</file>

<file path=xl/sharedStrings.xml><?xml version="1.0" encoding="utf-8"?>
<sst xmlns="http://schemas.openxmlformats.org/spreadsheetml/2006/main" count="250" uniqueCount="94">
  <si>
    <t>Nome</t>
  </si>
  <si>
    <t>Planilha de controle interno</t>
  </si>
  <si>
    <t>Modalidade</t>
  </si>
  <si>
    <t>Valor</t>
  </si>
  <si>
    <t>Data/conteúdo</t>
  </si>
  <si>
    <t>Data/ínicio</t>
  </si>
  <si>
    <t>Data/final</t>
  </si>
  <si>
    <t>Anual</t>
  </si>
  <si>
    <t>Semestral</t>
  </si>
  <si>
    <t>Forma de Pgto</t>
  </si>
  <si>
    <t>Valor Pago</t>
  </si>
  <si>
    <t>Valor a Receber</t>
  </si>
  <si>
    <t>PCL's</t>
  </si>
  <si>
    <t>PCL Atual</t>
  </si>
  <si>
    <t>Status de Pgto</t>
  </si>
  <si>
    <t>Valor da PCL</t>
  </si>
  <si>
    <t>Valor Total</t>
  </si>
  <si>
    <t>Desconto</t>
  </si>
  <si>
    <t>Valor Final</t>
  </si>
  <si>
    <t>Rótulos de Linha</t>
  </si>
  <si>
    <t>Total Geral</t>
  </si>
  <si>
    <t>Contagem de Nome</t>
  </si>
  <si>
    <t>Contagem de Status de Pgto</t>
  </si>
  <si>
    <t>Soma de Valor da PCL</t>
  </si>
  <si>
    <t>Média de Valor da PCL</t>
  </si>
  <si>
    <t>Contagem de PCL's</t>
  </si>
  <si>
    <t>Rótulos de Coluna</t>
  </si>
  <si>
    <t>MODA das PCL's</t>
  </si>
  <si>
    <t>Contagem de Forma de Pgto</t>
  </si>
  <si>
    <t>Soma de Valor a Receber</t>
  </si>
  <si>
    <t>Contagem de Modalidade</t>
  </si>
  <si>
    <t>Máx. de Data/final</t>
  </si>
  <si>
    <t>Data hoje</t>
  </si>
  <si>
    <t>Bianual</t>
  </si>
  <si>
    <t>Marta Amalia Garcia Lopes Abe</t>
  </si>
  <si>
    <t>Cheque</t>
  </si>
  <si>
    <t>Pago</t>
  </si>
  <si>
    <t>Maria Aparecida Destido dos Santos</t>
  </si>
  <si>
    <t>Em Andamento</t>
  </si>
  <si>
    <t>Debora Guerzoni Bordoni</t>
  </si>
  <si>
    <t>Claudio Romualdo</t>
  </si>
  <si>
    <t>Bienal</t>
  </si>
  <si>
    <t>Dinheiro</t>
  </si>
  <si>
    <t>Luiz Gonzaga Tone</t>
  </si>
  <si>
    <t>Rui Dall Agnol</t>
  </si>
  <si>
    <t>Luiz Gustavo Placiteli</t>
  </si>
  <si>
    <t>Edna Clementina Balsani</t>
  </si>
  <si>
    <t>Juarez Eckeli</t>
  </si>
  <si>
    <t>Pix</t>
  </si>
  <si>
    <t>Cartão</t>
  </si>
  <si>
    <t>Média total das parcelas durante o período de pagamento</t>
  </si>
  <si>
    <t>Soma de Valor Final</t>
  </si>
  <si>
    <t>Val. Méd. PCL</t>
  </si>
  <si>
    <t>Status do Serviço</t>
  </si>
  <si>
    <t>Status Fin.</t>
  </si>
  <si>
    <t>Valores Pagos</t>
  </si>
  <si>
    <t xml:space="preserve">Total a Receber Neste Mês
</t>
  </si>
  <si>
    <t xml:space="preserve">Valor Total dos Serviços
</t>
  </si>
  <si>
    <t>Total a Receber Estimado</t>
  </si>
  <si>
    <t>Resta Receber Neste Mês</t>
  </si>
  <si>
    <t>Valor Médio Das Parcelas</t>
  </si>
  <si>
    <t>Soma Parcelamento por Mod. (Em adamento status financeiro)</t>
  </si>
  <si>
    <t>Valor Total dos Serviços (F)</t>
  </si>
  <si>
    <t>Resta receber nesse mês:</t>
  </si>
  <si>
    <t>Pendente</t>
  </si>
  <si>
    <t>Total a Receber Neste Mês</t>
  </si>
  <si>
    <t>Indica o valor integral a receber referente ao mês</t>
  </si>
  <si>
    <t>Valor Total dos Serviços</t>
  </si>
  <si>
    <t>Inica a somatória do valor dos serviços em andamento</t>
  </si>
  <si>
    <t>Indica a somatória dos valores recebidos no mês.</t>
  </si>
  <si>
    <t>Soma Parcelamento por Mod.</t>
  </si>
  <si>
    <t>Indica o valor restante a receber no mês</t>
  </si>
  <si>
    <t>Indica a média das "parcelas reais" dos serviços em andamento</t>
  </si>
  <si>
    <t>Indica a somatória das "parcelas mensais" (como se todos os servições fossem pagos mensalmente)</t>
  </si>
  <si>
    <t>MANUAL DASHBOARD</t>
  </si>
  <si>
    <t xml:space="preserve">Indica o valor total restante a receber </t>
  </si>
  <si>
    <t>Leva- se em consideração  os serviços que já foram pagos mas não concluídos</t>
  </si>
  <si>
    <t>Indica a somatória do valor de todos os serviçoes ("Finalizados" e "Em andamento")</t>
  </si>
  <si>
    <t>Marta Maria Tartaro de Souza</t>
  </si>
  <si>
    <t>Maria Aparecida Silva Moura</t>
  </si>
  <si>
    <t>Miguel Marques</t>
  </si>
  <si>
    <t>Miguel Mutton</t>
  </si>
  <si>
    <t>Magda Maria Fontes Gastardeli</t>
  </si>
  <si>
    <t>Julia Missue Namba</t>
  </si>
  <si>
    <t>Ana Maria Colichio V. Sbrissa</t>
  </si>
  <si>
    <t>Maria Bernadeth de Carvalho Santos</t>
  </si>
  <si>
    <t>Sônia Maria Farias Cobianchi</t>
  </si>
  <si>
    <t>Josino Fernandes de Souza</t>
  </si>
  <si>
    <t>Dirce Santos Rosa e Silva</t>
  </si>
  <si>
    <t>Celso Inácio</t>
  </si>
  <si>
    <t>José Fortes Guimarães Neto</t>
  </si>
  <si>
    <t>Serviços em Andamento</t>
  </si>
  <si>
    <t>dede</t>
  </si>
  <si>
    <t>"slogan slogan slogan slogan slogan slogan slogan slogan"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</si>
</sst>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4" formatCode="_-&quot;R$&quot;\ * #,##0.00_-;\-&quot;R$&quot;\ * #,##0.00_-;_-&quot;R$&quot;\ * &quot;-&quot;??_-;_-@_-"/>
    <numFmt numFmtId="164" formatCode="_-&quot;R$&quot;* #,##0.00_-;\-&quot;R$&quot;* #,##0.00_-;_-&quot;R$&quot;* &quot;-&quot;??_-;_-@_-"/>
    <numFmt numFmtId="165" formatCode="dd/mm/yy;@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rgb="FF002060"/>
      <name val="Calibri"/>
      <family val="2"/>
      <scheme val="minor"/>
    </font>
    <font>
      <sz val="11"/>
      <name val="Calibri"/>
      <family val="2"/>
      <scheme val="minor"/>
    </font>
    <font>
      <sz val="14"/>
      <color theme="1"/>
      <name val="Monotype Corsiva"/>
      <family val="4"/>
    </font>
    <font>
      <b/>
      <sz val="22"/>
      <color rgb="FF002060"/>
      <name val="Berlin Sans FB Demi"/>
      <family val="2"/>
    </font>
    <font>
      <b/>
      <sz val="11"/>
      <color theme="1"/>
      <name val="Calibri"/>
      <family val="2"/>
      <scheme val="minor"/>
    </font>
    <font>
      <sz val="13"/>
      <color theme="1"/>
      <name val="Monotype Corsiva"/>
      <family val="4"/>
    </font>
    <font>
      <sz val="8"/>
      <name val="Calibri"/>
      <family val="2"/>
      <scheme val="minor"/>
    </font>
    <font>
      <b/>
      <sz val="20"/>
      <color theme="4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sz val="20"/>
      <color theme="7" tint="-0.249977111117893"/>
      <name val="Calibri"/>
      <family val="2"/>
      <scheme val="minor"/>
    </font>
    <font>
      <b/>
      <sz val="20"/>
      <color theme="9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2"/>
      <color theme="1"/>
      <name val="Monotype Corsiva"/>
      <family val="4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59999389629810485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4" tint="0.39997558519241921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/>
      <right/>
      <top style="thin">
        <color indexed="64"/>
      </top>
      <bottom/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114">
    <xf numFmtId="0" fontId="0" fillId="0" borderId="0" xfId="0"/>
    <xf numFmtId="0" fontId="0" fillId="0" borderId="0" xfId="0" applyBorder="1"/>
    <xf numFmtId="0" fontId="0" fillId="2" borderId="0" xfId="0" applyFill="1"/>
    <xf numFmtId="0" fontId="2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4" fillId="0" borderId="0" xfId="0" applyFont="1"/>
    <xf numFmtId="0" fontId="3" fillId="0" borderId="0" xfId="0" applyFont="1" applyBorder="1" applyAlignment="1">
      <alignment vertical="center"/>
    </xf>
    <xf numFmtId="0" fontId="2" fillId="0" borderId="0" xfId="0" applyFont="1" applyBorder="1" applyAlignment="1">
      <alignment vertical="center"/>
    </xf>
    <xf numFmtId="0" fontId="6" fillId="0" borderId="0" xfId="0" applyFont="1" applyBorder="1" applyAlignment="1">
      <alignment vertical="center"/>
    </xf>
    <xf numFmtId="0" fontId="0" fillId="0" borderId="0" xfId="0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164" fontId="0" fillId="0" borderId="0" xfId="1" applyFont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14" fontId="0" fillId="0" borderId="0" xfId="0" applyNumberFormat="1" applyAlignment="1">
      <alignment horizontal="center"/>
    </xf>
    <xf numFmtId="0" fontId="0" fillId="0" borderId="0" xfId="0" applyAlignment="1">
      <alignment horizontal="left" vertical="center" wrapText="1"/>
    </xf>
    <xf numFmtId="0" fontId="8" fillId="0" borderId="0" xfId="0" applyFont="1" applyAlignment="1">
      <alignment horizontal="left" vertical="center"/>
    </xf>
    <xf numFmtId="0" fontId="3" fillId="2" borderId="0" xfId="0" applyFont="1" applyFill="1" applyBorder="1" applyAlignment="1">
      <alignment vertical="center"/>
    </xf>
    <xf numFmtId="0" fontId="2" fillId="2" borderId="0" xfId="0" applyFont="1" applyFill="1" applyBorder="1" applyAlignment="1">
      <alignment vertical="center"/>
    </xf>
    <xf numFmtId="0" fontId="9" fillId="2" borderId="0" xfId="0" applyFont="1" applyFill="1" applyBorder="1" applyAlignment="1">
      <alignment vertical="center"/>
    </xf>
    <xf numFmtId="0" fontId="0" fillId="3" borderId="0" xfId="0" applyFill="1"/>
    <xf numFmtId="0" fontId="0" fillId="3" borderId="0" xfId="0" applyFill="1" applyBorder="1"/>
    <xf numFmtId="0" fontId="0" fillId="0" borderId="0" xfId="0" pivotButton="1"/>
    <xf numFmtId="1" fontId="0" fillId="0" borderId="0" xfId="0" applyNumberFormat="1"/>
    <xf numFmtId="0" fontId="0" fillId="2" borderId="0" xfId="0" applyFill="1" applyBorder="1"/>
    <xf numFmtId="0" fontId="5" fillId="2" borderId="0" xfId="0" applyFont="1" applyFill="1" applyBorder="1"/>
    <xf numFmtId="0" fontId="8" fillId="5" borderId="2" xfId="0" applyFont="1" applyFill="1" applyBorder="1" applyAlignment="1">
      <alignment horizontal="center"/>
    </xf>
    <xf numFmtId="0" fontId="8" fillId="5" borderId="3" xfId="0" applyFont="1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 vertical="center"/>
    </xf>
    <xf numFmtId="0" fontId="0" fillId="0" borderId="5" xfId="0" applyBorder="1" applyAlignment="1">
      <alignment horizontal="center"/>
    </xf>
    <xf numFmtId="164" fontId="0" fillId="0" borderId="4" xfId="1" applyFont="1" applyBorder="1" applyAlignment="1">
      <alignment horizontal="center"/>
    </xf>
    <xf numFmtId="164" fontId="0" fillId="0" borderId="6" xfId="1" applyFont="1" applyBorder="1" applyAlignment="1">
      <alignment horizontal="center"/>
    </xf>
    <xf numFmtId="0" fontId="0" fillId="0" borderId="7" xfId="0" applyBorder="1" applyAlignment="1">
      <alignment horizontal="center"/>
    </xf>
    <xf numFmtId="0" fontId="8" fillId="5" borderId="8" xfId="0" applyFont="1" applyFill="1" applyBorder="1" applyAlignment="1">
      <alignment horizontal="center"/>
    </xf>
    <xf numFmtId="165" fontId="0" fillId="0" borderId="9" xfId="0" applyNumberFormat="1" applyBorder="1" applyAlignment="1">
      <alignment horizontal="center" vertical="center"/>
    </xf>
    <xf numFmtId="1" fontId="11" fillId="0" borderId="10" xfId="0" applyNumberFormat="1" applyFont="1" applyBorder="1" applyAlignment="1">
      <alignment horizontal="center" vertical="center"/>
    </xf>
    <xf numFmtId="0" fontId="8" fillId="4" borderId="6" xfId="0" applyFont="1" applyFill="1" applyBorder="1" applyAlignment="1">
      <alignment horizontal="center" vertical="center"/>
    </xf>
    <xf numFmtId="0" fontId="0" fillId="4" borderId="10" xfId="0" applyFill="1" applyBorder="1" applyAlignment="1">
      <alignment horizontal="center" vertical="center"/>
    </xf>
    <xf numFmtId="0" fontId="0" fillId="4" borderId="7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4" fillId="4" borderId="10" xfId="0" applyNumberFormat="1" applyFont="1" applyFill="1" applyBorder="1" applyAlignment="1">
      <alignment horizontal="center" vertical="center"/>
    </xf>
    <xf numFmtId="0" fontId="14" fillId="4" borderId="10" xfId="0" quotePrefix="1" applyNumberFormat="1" applyFont="1" applyFill="1" applyBorder="1" applyAlignment="1">
      <alignment horizontal="center" vertical="center"/>
    </xf>
    <xf numFmtId="1" fontId="11" fillId="0" borderId="1" xfId="0" applyNumberFormat="1" applyFont="1" applyBorder="1" applyAlignment="1">
      <alignment horizontal="center" vertical="center"/>
    </xf>
    <xf numFmtId="0" fontId="0" fillId="0" borderId="1" xfId="0" applyBorder="1"/>
    <xf numFmtId="165" fontId="11" fillId="0" borderId="1" xfId="0" applyNumberFormat="1" applyFont="1" applyBorder="1" applyAlignment="1">
      <alignment horizontal="center" vertical="center"/>
    </xf>
    <xf numFmtId="0" fontId="0" fillId="0" borderId="1" xfId="0" pivotButton="1" applyBorder="1"/>
    <xf numFmtId="0" fontId="0" fillId="0" borderId="1" xfId="0" pivotButton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1" fontId="11" fillId="0" borderId="11" xfId="0" applyNumberFormat="1" applyFont="1" applyBorder="1" applyAlignment="1">
      <alignment horizontal="center" vertical="center"/>
    </xf>
    <xf numFmtId="1" fontId="11" fillId="0" borderId="12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left"/>
    </xf>
    <xf numFmtId="1" fontId="14" fillId="0" borderId="11" xfId="0" applyNumberFormat="1" applyFont="1" applyBorder="1" applyAlignment="1">
      <alignment horizontal="center" vertical="center"/>
    </xf>
    <xf numFmtId="1" fontId="14" fillId="0" borderId="12" xfId="0" applyNumberFormat="1" applyFont="1" applyBorder="1" applyAlignment="1">
      <alignment horizontal="center" vertical="center"/>
    </xf>
    <xf numFmtId="0" fontId="0" fillId="0" borderId="11" xfId="0" pivotButton="1" applyBorder="1" applyAlignment="1">
      <alignment horizontal="center" vertical="center"/>
    </xf>
    <xf numFmtId="164" fontId="14" fillId="0" borderId="1" xfId="0" applyNumberFormat="1" applyFont="1" applyBorder="1" applyAlignment="1">
      <alignment horizontal="center" vertical="center"/>
    </xf>
    <xf numFmtId="10" fontId="0" fillId="0" borderId="0" xfId="0" applyNumberFormat="1" applyFont="1" applyAlignment="1">
      <alignment horizontal="center" vertical="center"/>
    </xf>
    <xf numFmtId="44" fontId="0" fillId="0" borderId="0" xfId="0" applyNumberFormat="1" applyFont="1" applyAlignment="1">
      <alignment horizontal="center" vertical="center"/>
    </xf>
    <xf numFmtId="164" fontId="14" fillId="6" borderId="13" xfId="0" applyNumberFormat="1" applyFont="1" applyFill="1" applyBorder="1" applyAlignment="1">
      <alignment horizontal="center" vertical="center"/>
    </xf>
    <xf numFmtId="165" fontId="11" fillId="0" borderId="0" xfId="0" applyNumberFormat="1" applyFont="1" applyBorder="1" applyAlignment="1">
      <alignment horizontal="center" vertical="center"/>
    </xf>
    <xf numFmtId="1" fontId="12" fillId="0" borderId="1" xfId="0" applyNumberFormat="1" applyFont="1" applyBorder="1" applyAlignment="1">
      <alignment horizontal="center" vertical="center"/>
    </xf>
    <xf numFmtId="0" fontId="13" fillId="2" borderId="1" xfId="0" applyNumberFormat="1" applyFont="1" applyFill="1" applyBorder="1" applyAlignment="1">
      <alignment horizontal="center" vertical="center"/>
    </xf>
    <xf numFmtId="0" fontId="14" fillId="0" borderId="1" xfId="0" applyNumberFormat="1" applyFont="1" applyBorder="1" applyAlignment="1">
      <alignment horizontal="center" vertical="center"/>
    </xf>
    <xf numFmtId="0" fontId="0" fillId="0" borderId="9" xfId="0" applyNumberFormat="1" applyBorder="1" applyAlignment="1">
      <alignment horizontal="center" vertical="center"/>
    </xf>
    <xf numFmtId="0" fontId="14" fillId="0" borderId="8" xfId="0" applyNumberFormat="1" applyFont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" fontId="11" fillId="0" borderId="14" xfId="0" applyNumberFormat="1" applyFont="1" applyBorder="1" applyAlignment="1">
      <alignment horizontal="center" vertical="center"/>
    </xf>
    <xf numFmtId="1" fontId="14" fillId="0" borderId="14" xfId="0" applyNumberFormat="1" applyFont="1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8" xfId="0" applyNumberFormat="1" applyBorder="1" applyAlignment="1">
      <alignment horizontal="center" vertical="center"/>
    </xf>
    <xf numFmtId="164" fontId="14" fillId="0" borderId="9" xfId="0" applyNumberFormat="1" applyFont="1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8" fillId="6" borderId="1" xfId="0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14" fontId="5" fillId="0" borderId="0" xfId="0" applyNumberFormat="1" applyFont="1" applyAlignment="1">
      <alignment horizontal="center"/>
    </xf>
    <xf numFmtId="164" fontId="14" fillId="0" borderId="11" xfId="0" applyNumberFormat="1" applyFont="1" applyBorder="1" applyAlignment="1">
      <alignment horizontal="center" vertical="center"/>
    </xf>
    <xf numFmtId="164" fontId="14" fillId="0" borderId="12" xfId="0" applyNumberFormat="1" applyFont="1" applyBorder="1" applyAlignment="1">
      <alignment horizontal="center" vertical="center"/>
    </xf>
    <xf numFmtId="0" fontId="8" fillId="6" borderId="15" xfId="0" applyFont="1" applyFill="1" applyBorder="1" applyAlignment="1">
      <alignment horizontal="center" vertical="center"/>
    </xf>
    <xf numFmtId="0" fontId="8" fillId="6" borderId="1" xfId="0" applyFont="1" applyFill="1" applyBorder="1" applyAlignment="1">
      <alignment horizontal="center" vertical="center" wrapText="1"/>
    </xf>
    <xf numFmtId="0" fontId="8" fillId="0" borderId="12" xfId="0" applyFont="1" applyBorder="1" applyAlignment="1">
      <alignment horizontal="center" vertical="center"/>
    </xf>
    <xf numFmtId="0" fontId="8" fillId="0" borderId="11" xfId="0" pivotButton="1" applyFont="1" applyBorder="1" applyAlignment="1">
      <alignment horizontal="center" vertical="center"/>
    </xf>
    <xf numFmtId="0" fontId="8" fillId="6" borderId="12" xfId="0" applyFont="1" applyFill="1" applyBorder="1" applyAlignment="1">
      <alignment horizontal="center" vertical="center"/>
    </xf>
    <xf numFmtId="0" fontId="0" fillId="0" borderId="2" xfId="0" applyBorder="1"/>
    <xf numFmtId="0" fontId="0" fillId="0" borderId="16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1" xfId="0" applyNumberFormat="1" applyBorder="1"/>
    <xf numFmtId="0" fontId="13" fillId="2" borderId="8" xfId="0" applyNumberFormat="1" applyFont="1" applyFill="1" applyBorder="1" applyAlignment="1">
      <alignment horizontal="center" vertical="center"/>
    </xf>
    <xf numFmtId="0" fontId="8" fillId="0" borderId="0" xfId="0" applyFont="1" applyBorder="1"/>
    <xf numFmtId="0" fontId="16" fillId="0" borderId="0" xfId="0" applyFont="1" applyBorder="1" applyAlignment="1">
      <alignment horizontal="left" vertical="center"/>
    </xf>
    <xf numFmtId="0" fontId="0" fillId="0" borderId="0" xfId="0" applyFont="1" applyBorder="1"/>
    <xf numFmtId="0" fontId="0" fillId="0" borderId="0" xfId="0" applyBorder="1" applyAlignment="1"/>
    <xf numFmtId="0" fontId="16" fillId="0" borderId="0" xfId="0" applyFont="1" applyBorder="1"/>
    <xf numFmtId="0" fontId="0" fillId="0" borderId="10" xfId="0" applyBorder="1"/>
    <xf numFmtId="0" fontId="0" fillId="0" borderId="7" xfId="0" applyBorder="1"/>
    <xf numFmtId="0" fontId="0" fillId="0" borderId="0" xfId="0" applyFill="1" applyBorder="1"/>
    <xf numFmtId="0" fontId="16" fillId="0" borderId="0" xfId="0" applyFont="1" applyFill="1" applyBorder="1" applyAlignment="1">
      <alignment horizontal="left" vertical="center"/>
    </xf>
    <xf numFmtId="0" fontId="16" fillId="0" borderId="0" xfId="0" applyFont="1" applyFill="1" applyBorder="1"/>
    <xf numFmtId="0" fontId="0" fillId="0" borderId="0" xfId="0" applyNumberFormat="1" applyAlignment="1">
      <alignment horizontal="center"/>
    </xf>
    <xf numFmtId="0" fontId="0" fillId="0" borderId="0" xfId="0" applyNumberFormat="1" applyFill="1" applyAlignment="1">
      <alignment horizontal="center" vertical="center"/>
    </xf>
    <xf numFmtId="164" fontId="0" fillId="0" borderId="0" xfId="1" applyFont="1" applyFill="1" applyAlignment="1">
      <alignment horizontal="center" vertical="center"/>
    </xf>
    <xf numFmtId="10" fontId="0" fillId="0" borderId="0" xfId="0" applyNumberFormat="1" applyFont="1" applyFill="1" applyAlignment="1">
      <alignment horizontal="center" vertical="center"/>
    </xf>
    <xf numFmtId="44" fontId="0" fillId="0" borderId="0" xfId="0" applyNumberFormat="1" applyFont="1" applyFill="1" applyAlignment="1">
      <alignment horizontal="center" vertical="center"/>
    </xf>
    <xf numFmtId="14" fontId="0" fillId="7" borderId="0" xfId="0" applyNumberFormat="1" applyFill="1" applyAlignment="1">
      <alignment horizontal="center"/>
    </xf>
    <xf numFmtId="0" fontId="7" fillId="2" borderId="0" xfId="0" applyFont="1" applyFill="1" applyBorder="1" applyAlignment="1">
      <alignment horizontal="center" vertical="center"/>
    </xf>
    <xf numFmtId="0" fontId="17" fillId="0" borderId="0" xfId="0" applyFont="1" applyBorder="1" applyAlignment="1">
      <alignment horizontal="center" vertical="center"/>
    </xf>
    <xf numFmtId="0" fontId="9" fillId="0" borderId="0" xfId="0" applyFont="1" applyBorder="1" applyAlignment="1">
      <alignment horizontal="center" vertical="center"/>
    </xf>
    <xf numFmtId="0" fontId="15" fillId="4" borderId="0" xfId="0" applyFont="1" applyFill="1" applyAlignment="1">
      <alignment horizontal="center" vertical="center"/>
    </xf>
  </cellXfs>
  <cellStyles count="2">
    <cellStyle name="Moeda" xfId="1" builtinId="4"/>
    <cellStyle name="Normal" xfId="0" builtinId="0"/>
  </cellStyles>
  <dxfs count="311">
    <dxf>
      <numFmt numFmtId="0" formatCode="General"/>
    </dxf>
    <dxf>
      <font>
        <b/>
        <sz val="20"/>
        <color theme="9"/>
      </font>
      <numFmt numFmtId="164" formatCode="_-&quot;R$&quot;* #,##0.00_-;\-&quot;R$&quot;* #,##0.00_-;_-&quot;R$&quot;* &quot;-&quot;??_-;_-@_-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font>
        <color theme="4"/>
      </font>
      <numFmt numFmtId="1" formatCode="0"/>
    </dxf>
    <dxf>
      <font>
        <b/>
        <sz val="20"/>
        <color theme="9"/>
      </font>
      <numFmt numFmtId="164" formatCode="_-&quot;R$&quot;* #,##0.00_-;\-&quot;R$&quot;* #,##0.00_-;_-&quot;R$&quot;* &quot;-&quot;??_-;_-@_-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1" formatCode="0"/>
    </dxf>
    <dxf>
      <alignment vertical="center"/>
    </dxf>
    <dxf>
      <alignment horizontal="center"/>
    </dxf>
    <dxf>
      <font>
        <b/>
      </font>
    </dxf>
    <dxf>
      <font>
        <sz val="20"/>
      </font>
    </dxf>
    <dxf>
      <font>
        <color theme="9"/>
      </font>
    </dxf>
    <dxf>
      <numFmt numFmtId="164" formatCode="_-&quot;R$&quot;* #,##0.00_-;\-&quot;R$&quot;* #,##0.00_-;_-&quot;R$&quot;* &quot;-&quot;??_-;_-@_-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left"/>
    </dxf>
    <dxf>
      <alignment horizontal="left"/>
    </dxf>
    <dxf>
      <alignment horizontal="left"/>
    </dxf>
    <dxf>
      <font>
        <b/>
      </font>
    </dxf>
    <dxf>
      <font>
        <color theme="4"/>
      </font>
    </dxf>
    <dxf>
      <font>
        <sz val="20"/>
      </font>
    </dxf>
    <dxf>
      <numFmt numFmtId="1" formatCode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ont>
        <b/>
      </font>
    </dxf>
    <dxf>
      <font>
        <sz val="20"/>
      </font>
    </dxf>
    <dxf>
      <font>
        <color theme="9"/>
      </font>
    </dxf>
    <dxf>
      <numFmt numFmtId="164" formatCode="_-&quot;R$&quot;* #,##0.00_-;\-&quot;R$&quot;* #,##0.00_-;_-&quot;R$&quot;* &quot;-&quot;??_-;_-@_-"/>
    </dxf>
    <dxf>
      <font>
        <b/>
        <sz val="20"/>
        <color theme="9"/>
      </font>
      <numFmt numFmtId="164" formatCode="_-&quot;R$&quot;* #,##0.00_-;\-&quot;R$&quot;* #,##0.00_-;_-&quot;R$&quot;* &quot;-&quot;??_-;_-@_-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font>
        <b/>
      </font>
    </dxf>
    <dxf>
      <font>
        <b/>
      </font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</dxf>
    <dxf>
      <alignment vertical="center"/>
    </dxf>
    <dxf>
      <alignment horizontal="center"/>
    </dxf>
    <dxf>
      <font>
        <b/>
      </font>
    </dxf>
    <dxf>
      <font>
        <sz val="20"/>
      </font>
    </dxf>
    <dxf>
      <font>
        <color theme="9"/>
      </font>
    </dxf>
    <dxf>
      <numFmt numFmtId="164" formatCode="_-&quot;R$&quot;* #,##0.00_-;\-&quot;R$&quot;* #,##0.00_-;_-&quot;R$&quot;* &quot;-&quot;??_-;_-@_-"/>
    </dxf>
    <dxf>
      <font>
        <b/>
        <sz val="20"/>
        <color theme="9"/>
      </font>
      <numFmt numFmtId="164" formatCode="_-&quot;R$&quot;* #,##0.00_-;\-&quot;R$&quot;* #,##0.00_-;_-&quot;R$&quot;* &quot;-&quot;??_-;_-@_-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font>
        <b/>
        <sz val="20"/>
        <color theme="9"/>
      </font>
      <numFmt numFmtId="164" formatCode="_-&quot;R$&quot;* #,##0.00_-;\-&quot;R$&quot;* #,##0.00_-;_-&quot;R$&quot;* &quot;-&quot;??_-;_-@_-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vertical="center"/>
    </dxf>
    <dxf>
      <alignment horizontal="center"/>
    </dxf>
    <dxf>
      <font>
        <b/>
        <sz val="20"/>
        <color theme="4"/>
      </font>
    </dxf>
    <dxf>
      <numFmt numFmtId="1" formatCode="0"/>
    </dxf>
    <dxf>
      <font>
        <b/>
        <sz val="20"/>
        <color theme="9"/>
      </font>
      <numFmt numFmtId="164" formatCode="_-&quot;R$&quot;* #,##0.00_-;\-&quot;R$&quot;* #,##0.00_-;_-&quot;R$&quot;* &quot;-&quot;??_-;_-@_-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border>
        <bottom style="thin">
          <color indexed="64"/>
        </bottom>
        <vertical style="thin">
          <color indexed="64"/>
        </vertical>
      </border>
    </dxf>
    <dxf>
      <border>
        <bottom style="thin">
          <color indexed="64"/>
        </bottom>
        <vertical style="thin">
          <color indexed="64"/>
        </vertical>
      </border>
    </dxf>
    <dxf>
      <border>
        <bottom style="thin">
          <color indexed="64"/>
        </bottom>
        <vertical style="thin">
          <color indexed="64"/>
        </vertical>
      </border>
    </dxf>
    <dxf>
      <alignment vertical="center"/>
    </dxf>
    <dxf>
      <alignment vertical="center"/>
    </dxf>
    <dxf>
      <alignment vertical="center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/>
    </dxf>
    <dxf>
      <alignment horizontal="center"/>
    </dxf>
    <dxf>
      <alignment horizontal="center"/>
    </dxf>
    <dxf>
      <numFmt numFmtId="165" formatCode="dd/mm/yy;@"/>
    </dxf>
    <dxf>
      <font>
        <b/>
      </font>
    </dxf>
    <dxf>
      <font>
        <color theme="4"/>
      </font>
    </dxf>
    <dxf>
      <font>
        <sz val="20"/>
      </font>
    </dxf>
    <dxf>
      <numFmt numFmtId="1" formatCode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ont>
        <color theme="7" tint="-0.249977111117893"/>
      </font>
    </dxf>
    <dxf>
      <alignment vertical="center"/>
    </dxf>
    <dxf>
      <alignment horizontal="center"/>
    </dxf>
    <dxf>
      <font>
        <b/>
      </font>
    </dxf>
    <dxf>
      <font>
        <sz val="20"/>
      </font>
    </dxf>
    <dxf>
      <font>
        <color theme="7" tint="0.39997558519241921"/>
      </font>
    </dxf>
    <dxf>
      <fill>
        <patternFill>
          <bgColor theme="0"/>
        </patternFill>
      </fill>
    </dxf>
    <dxf>
      <fill>
        <patternFill patternType="solid">
          <bgColor theme="7" tint="0.39997558519241921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</dxf>
    <dxf>
      <font>
        <b/>
        <sz val="20"/>
        <color rgb="FFFF0000"/>
      </font>
      <alignment horizontal="center" vertical="center"/>
    </dxf>
    <dxf>
      <font>
        <b/>
      </font>
    </dxf>
    <dxf>
      <alignment horizontal="center"/>
    </dxf>
    <dxf>
      <alignment vertical="center"/>
    </dxf>
    <dxf>
      <font>
        <sz val="20"/>
      </font>
    </dxf>
    <dxf>
      <font>
        <color rgb="FFFF0000"/>
      </font>
    </dxf>
    <dxf>
      <numFmt numFmtId="19" formatCode="dd/mm/yyyy"/>
      <alignment horizontal="center" vertical="bottom" textRotation="0" wrapText="0" indent="0" justifyLastLine="0" shrinkToFit="0" readingOrder="0"/>
    </dxf>
    <dxf>
      <numFmt numFmtId="164" formatCode="_-&quot;R$&quot;* #,##0.00_-;\-&quot;R$&quot;* #,##0.00_-;_-&quot;R$&quot;* &quot;-&quot;??_-;_-@_-"/>
      <alignment horizontal="center" vertical="center" textRotation="0" wrapText="0" indent="0" justifyLastLine="0" shrinkToFit="0" readingOrder="0"/>
    </dxf>
    <dxf>
      <numFmt numFmtId="164" formatCode="_-&quot;R$&quot;* #,##0.00_-;\-&quot;R$&quot;* #,##0.00_-;_-&quot;R$&quot;* &quot;-&quot;??_-;_-@_-"/>
      <alignment horizontal="center" vertical="center" textRotation="0" wrapText="0" indent="0" justifyLastLine="0" shrinkToFit="0" readingOrder="0"/>
    </dxf>
    <dxf>
      <numFmt numFmtId="164" formatCode="_-&quot;R$&quot;* #,##0.00_-;\-&quot;R$&quot;* #,##0.00_-;_-&quot;R$&quot;* &quot;-&quot;??_-;_-@_-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4" formatCode="0.00%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fill>
        <patternFill>
          <bgColor theme="5" tint="0.79998168889431442"/>
        </patternFill>
      </fill>
    </dxf>
    <dxf>
      <font>
        <strike val="0"/>
        <color rgb="FF132F49"/>
      </font>
      <numFmt numFmtId="0" formatCode="General"/>
      <fill>
        <patternFill>
          <bgColor rgb="FF3FCDFF"/>
        </patternFill>
      </fill>
    </dxf>
    <dxf>
      <font>
        <color rgb="FF826300"/>
      </font>
      <fill>
        <patternFill>
          <bgColor rgb="FFFFDF79"/>
        </patternFill>
      </fill>
    </dxf>
    <dxf>
      <fill>
        <patternFill>
          <bgColor theme="5" tint="0.79998168889431442"/>
        </patternFill>
      </fill>
    </dxf>
    <dxf>
      <font>
        <color rgb="FF7030A0"/>
      </font>
      <fill>
        <patternFill>
          <bgColor rgb="FFDFC9EF"/>
        </patternFill>
      </fill>
    </dxf>
    <dxf>
      <font>
        <color rgb="FFFF0000"/>
      </font>
      <fill>
        <patternFill>
          <bgColor rgb="FFFFB9B9"/>
        </patternFill>
      </fill>
    </dxf>
    <dxf>
      <font>
        <color rgb="FF7030A0"/>
      </font>
      <fill>
        <patternFill>
          <bgColor rgb="FFD3B5E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5" tint="-0.24994659260841701"/>
      </font>
      <fill>
        <patternFill>
          <bgColor theme="5" tint="0.79998168889431442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5" tint="-0.24994659260841701"/>
      </font>
      <fill>
        <patternFill>
          <bgColor theme="5" tint="0.79998168889431442"/>
        </patternFill>
      </fill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9" formatCode="dd/mm/yyyy"/>
      <alignment horizontal="center" vertical="bottom" textRotation="0" wrapText="0" indent="0" justifyLastLine="0" shrinkToFit="0" readingOrder="0"/>
    </dxf>
    <dxf>
      <numFmt numFmtId="19" formatCode="dd/mm/yyyy"/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>
          <bgColor theme="5" tint="0.79998168889431442"/>
        </patternFill>
      </fill>
    </dxf>
    <dxf>
      <font>
        <color rgb="FF7030A0"/>
      </font>
      <fill>
        <patternFill>
          <bgColor rgb="FFDFC9EF"/>
        </patternFill>
      </fill>
    </dxf>
    <dxf>
      <font>
        <strike val="0"/>
        <color rgb="FF132F49"/>
      </font>
      <numFmt numFmtId="0" formatCode="General"/>
      <fill>
        <patternFill>
          <bgColor rgb="FF3FCDFF"/>
        </patternFill>
      </fill>
    </dxf>
    <dxf>
      <font>
        <color rgb="FF826300"/>
      </font>
      <fill>
        <patternFill>
          <bgColor rgb="FFFFDF79"/>
        </patternFill>
      </fill>
    </dxf>
    <dxf>
      <fill>
        <patternFill>
          <bgColor theme="5" tint="0.79998168889431442"/>
        </patternFill>
      </fill>
    </dxf>
    <dxf>
      <font>
        <color rgb="FFFF0000"/>
      </font>
      <fill>
        <patternFill>
          <bgColor rgb="FFFFB9B9"/>
        </patternFill>
      </fill>
    </dxf>
    <dxf>
      <font>
        <color rgb="FF7030A0"/>
      </font>
      <fill>
        <patternFill>
          <bgColor rgb="FFD3B5E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5" tint="-0.24994659260841701"/>
      </font>
      <fill>
        <patternFill>
          <bgColor theme="5" tint="0.79998168889431442"/>
        </patternFill>
      </fill>
    </dxf>
    <dxf>
      <font>
        <b val="0"/>
        <i val="0"/>
        <color rgb="FFD76213"/>
      </font>
      <fill>
        <patternFill>
          <bgColor rgb="FFFFD85B"/>
        </patternFill>
      </fill>
    </dxf>
    <dxf>
      <font>
        <color rgb="FFFF0000"/>
      </font>
      <fill>
        <patternFill>
          <bgColor rgb="FFFFB3B3"/>
        </patternFill>
      </fill>
    </dxf>
  </dxfs>
  <tableStyles count="1" defaultTableStyle="TableStyleMedium2" defaultPivotStyle="PivotStyleLight16">
    <tableStyle name="Estilo de Tabela 1" pivot="0" count="0" xr9:uid="{D23B4C61-903A-454C-9E06-207BF424A486}"/>
  </tableStyles>
  <colors>
    <mruColors>
      <color rgb="FFFFD85B"/>
      <color rgb="FFFFB3B3"/>
      <color rgb="FFD76213"/>
      <color rgb="FFDFC9EF"/>
      <color rgb="FF826300"/>
      <color rgb="FFB88C00"/>
      <color rgb="FF132F49"/>
      <color rgb="FFFFDF79"/>
      <color rgb="FFFF5D5D"/>
      <color rgb="FFFF090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openxmlformats.org/officeDocument/2006/relationships/powerPivotData" Target="model/item.data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hyperlink" Target="#Financeiro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hyperlink" Target="#Cadastros!A1"/><Relationship Id="rId1" Type="http://schemas.openxmlformats.org/officeDocument/2006/relationships/hyperlink" Target="#DashBoard!A1"/><Relationship Id="rId4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Financeiro!A1"/><Relationship Id="rId13" Type="http://schemas.openxmlformats.org/officeDocument/2006/relationships/image" Target="../media/image14.png"/><Relationship Id="rId18" Type="http://schemas.openxmlformats.org/officeDocument/2006/relationships/image" Target="../media/image19.png"/><Relationship Id="rId3" Type="http://schemas.openxmlformats.org/officeDocument/2006/relationships/image" Target="../media/image5.png"/><Relationship Id="rId21" Type="http://schemas.openxmlformats.org/officeDocument/2006/relationships/image" Target="../media/image22.svg"/><Relationship Id="rId7" Type="http://schemas.openxmlformats.org/officeDocument/2006/relationships/image" Target="../media/image9.png"/><Relationship Id="rId12" Type="http://schemas.openxmlformats.org/officeDocument/2006/relationships/image" Target="../media/image13.svg"/><Relationship Id="rId17" Type="http://schemas.openxmlformats.org/officeDocument/2006/relationships/image" Target="../media/image18.png"/><Relationship Id="rId2" Type="http://schemas.openxmlformats.org/officeDocument/2006/relationships/image" Target="../media/image4.png"/><Relationship Id="rId16" Type="http://schemas.openxmlformats.org/officeDocument/2006/relationships/image" Target="../media/image17.svg"/><Relationship Id="rId20" Type="http://schemas.openxmlformats.org/officeDocument/2006/relationships/image" Target="../media/image21.png"/><Relationship Id="rId1" Type="http://schemas.openxmlformats.org/officeDocument/2006/relationships/image" Target="../media/image3.png"/><Relationship Id="rId6" Type="http://schemas.openxmlformats.org/officeDocument/2006/relationships/image" Target="../media/image8.png"/><Relationship Id="rId11" Type="http://schemas.openxmlformats.org/officeDocument/2006/relationships/image" Target="../media/image12.png"/><Relationship Id="rId5" Type="http://schemas.openxmlformats.org/officeDocument/2006/relationships/image" Target="../media/image7.png"/><Relationship Id="rId15" Type="http://schemas.openxmlformats.org/officeDocument/2006/relationships/image" Target="../media/image16.png"/><Relationship Id="rId10" Type="http://schemas.openxmlformats.org/officeDocument/2006/relationships/image" Target="../media/image11.svg"/><Relationship Id="rId19" Type="http://schemas.openxmlformats.org/officeDocument/2006/relationships/image" Target="../media/image20.png"/><Relationship Id="rId4" Type="http://schemas.openxmlformats.org/officeDocument/2006/relationships/image" Target="../media/image6.png"/><Relationship Id="rId9" Type="http://schemas.openxmlformats.org/officeDocument/2006/relationships/image" Target="../media/image10.png"/><Relationship Id="rId14" Type="http://schemas.openxmlformats.org/officeDocument/2006/relationships/image" Target="../media/image15.svg"/><Relationship Id="rId22" Type="http://schemas.openxmlformats.org/officeDocument/2006/relationships/hyperlink" Target="#'Manual dashboard'!A1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22.svg"/><Relationship Id="rId13" Type="http://schemas.openxmlformats.org/officeDocument/2006/relationships/image" Target="../media/image15.svg"/><Relationship Id="rId3" Type="http://schemas.openxmlformats.org/officeDocument/2006/relationships/image" Target="../media/image3.png"/><Relationship Id="rId7" Type="http://schemas.openxmlformats.org/officeDocument/2006/relationships/image" Target="../media/image21.png"/><Relationship Id="rId12" Type="http://schemas.openxmlformats.org/officeDocument/2006/relationships/image" Target="../media/image14.png"/><Relationship Id="rId2" Type="http://schemas.openxmlformats.org/officeDocument/2006/relationships/image" Target="../media/image17.svg"/><Relationship Id="rId1" Type="http://schemas.openxmlformats.org/officeDocument/2006/relationships/image" Target="../media/image16.png"/><Relationship Id="rId6" Type="http://schemas.openxmlformats.org/officeDocument/2006/relationships/image" Target="../media/image11.svg"/><Relationship Id="rId11" Type="http://schemas.openxmlformats.org/officeDocument/2006/relationships/image" Target="../media/image6.png"/><Relationship Id="rId5" Type="http://schemas.openxmlformats.org/officeDocument/2006/relationships/image" Target="../media/image10.png"/><Relationship Id="rId10" Type="http://schemas.openxmlformats.org/officeDocument/2006/relationships/image" Target="../media/image13.svg"/><Relationship Id="rId4" Type="http://schemas.openxmlformats.org/officeDocument/2006/relationships/image" Target="../media/image9.png"/><Relationship Id="rId9" Type="http://schemas.openxmlformats.org/officeDocument/2006/relationships/image" Target="../media/image12.png"/><Relationship Id="rId14" Type="http://schemas.openxmlformats.org/officeDocument/2006/relationships/hyperlink" Target="#DashBoard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16041</xdr:colOff>
      <xdr:row>7</xdr:row>
      <xdr:rowOff>156912</xdr:rowOff>
    </xdr:from>
    <xdr:to>
      <xdr:col>2</xdr:col>
      <xdr:colOff>1104900</xdr:colOff>
      <xdr:row>10</xdr:row>
      <xdr:rowOff>113298</xdr:rowOff>
    </xdr:to>
    <xdr:sp macro="[0]!formcadastr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27F66866-EE3C-47AC-82A5-58C4905D90AF}"/>
            </a:ext>
          </a:extLst>
        </xdr:cNvPr>
        <xdr:cNvSpPr/>
      </xdr:nvSpPr>
      <xdr:spPr>
        <a:xfrm>
          <a:off x="282741" y="1299912"/>
          <a:ext cx="1088859" cy="527886"/>
        </a:xfrm>
        <a:prstGeom prst="roundRect">
          <a:avLst/>
        </a:prstGeom>
        <a:solidFill>
          <a:srgbClr val="00642D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50" b="1" i="0">
              <a:solidFill>
                <a:schemeClr val="bg1"/>
              </a:solidFill>
              <a:latin typeface="+mn-lt"/>
              <a:cs typeface="Arial" panose="020B0604020202020204" pitchFamily="34" charset="0"/>
            </a:rPr>
            <a:t>Cadastrar</a:t>
          </a:r>
        </a:p>
      </xdr:txBody>
    </xdr:sp>
    <xdr:clientData/>
  </xdr:twoCellAnchor>
  <xdr:twoCellAnchor>
    <xdr:from>
      <xdr:col>2</xdr:col>
      <xdr:colOff>1210302</xdr:colOff>
      <xdr:row>7</xdr:row>
      <xdr:rowOff>159169</xdr:rowOff>
    </xdr:from>
    <xdr:to>
      <xdr:col>3</xdr:col>
      <xdr:colOff>463342</xdr:colOff>
      <xdr:row>10</xdr:row>
      <xdr:rowOff>111042</xdr:rowOff>
    </xdr:to>
    <xdr:sp macro="[0]!Excluir" textlink="">
      <xdr:nvSpPr>
        <xdr:cNvPr id="9" name="Retângulo: Cantos Arredondados 8">
          <a:extLst>
            <a:ext uri="{FF2B5EF4-FFF2-40B4-BE49-F238E27FC236}">
              <a16:creationId xmlns:a16="http://schemas.microsoft.com/office/drawing/2014/main" id="{2D472B85-2BED-4E9B-BB2D-4920D2C1831D}"/>
            </a:ext>
          </a:extLst>
        </xdr:cNvPr>
        <xdr:cNvSpPr/>
      </xdr:nvSpPr>
      <xdr:spPr>
        <a:xfrm>
          <a:off x="1477002" y="1302169"/>
          <a:ext cx="1129465" cy="523373"/>
        </a:xfrm>
        <a:prstGeom prst="roundRect">
          <a:avLst/>
        </a:prstGeom>
        <a:solidFill>
          <a:srgbClr val="C0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50" b="1" i="0">
              <a:solidFill>
                <a:schemeClr val="bg1"/>
              </a:solidFill>
              <a:latin typeface="+mn-lt"/>
              <a:cs typeface="Arial" panose="020B0604020202020204" pitchFamily="34" charset="0"/>
            </a:rPr>
            <a:t>Excluir</a:t>
          </a:r>
          <a:endParaRPr lang="pt-BR" sz="1200" b="1" i="0">
            <a:solidFill>
              <a:schemeClr val="bg1"/>
            </a:solidFill>
            <a:latin typeface="+mn-lt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497682</xdr:colOff>
      <xdr:row>7</xdr:row>
      <xdr:rowOff>158165</xdr:rowOff>
    </xdr:from>
    <xdr:to>
      <xdr:col>5</xdr:col>
      <xdr:colOff>502193</xdr:colOff>
      <xdr:row>10</xdr:row>
      <xdr:rowOff>112045</xdr:rowOff>
    </xdr:to>
    <xdr:sp macro="[0]!formatualizarvalor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F733F174-E46C-494D-A508-C2BBA44865DD}"/>
            </a:ext>
          </a:extLst>
        </xdr:cNvPr>
        <xdr:cNvSpPr/>
      </xdr:nvSpPr>
      <xdr:spPr>
        <a:xfrm>
          <a:off x="3936207" y="1301165"/>
          <a:ext cx="1118936" cy="525380"/>
        </a:xfrm>
        <a:prstGeom prst="roundRect">
          <a:avLst/>
        </a:prstGeom>
        <a:solidFill>
          <a:schemeClr val="accent5">
            <a:lumMod val="75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50" b="1" i="0">
              <a:solidFill>
                <a:schemeClr val="bg1"/>
              </a:solidFill>
              <a:latin typeface="+mn-lt"/>
              <a:cs typeface="Arial" panose="020B0604020202020204" pitchFamily="34" charset="0"/>
            </a:rPr>
            <a:t>Atualizar Valores</a:t>
          </a:r>
        </a:p>
      </xdr:txBody>
    </xdr:sp>
    <xdr:clientData/>
  </xdr:twoCellAnchor>
  <xdr:twoCellAnchor>
    <xdr:from>
      <xdr:col>5</xdr:col>
      <xdr:colOff>607594</xdr:colOff>
      <xdr:row>7</xdr:row>
      <xdr:rowOff>158165</xdr:rowOff>
    </xdr:from>
    <xdr:to>
      <xdr:col>6</xdr:col>
      <xdr:colOff>231769</xdr:colOff>
      <xdr:row>10</xdr:row>
      <xdr:rowOff>112045</xdr:rowOff>
    </xdr:to>
    <xdr:sp macro="[0]!Alt_dash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4DA0EB65-581C-4770-B74E-8315B5517C1E}"/>
            </a:ext>
          </a:extLst>
        </xdr:cNvPr>
        <xdr:cNvSpPr/>
      </xdr:nvSpPr>
      <xdr:spPr>
        <a:xfrm>
          <a:off x="5160544" y="1301165"/>
          <a:ext cx="1119600" cy="525380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50" b="1" i="0">
              <a:solidFill>
                <a:schemeClr val="bg1"/>
              </a:solidFill>
              <a:latin typeface="+mn-lt"/>
              <a:cs typeface="Arial" panose="020B0604020202020204" pitchFamily="34" charset="0"/>
            </a:rPr>
            <a:t>Atualizar Dashboard</a:t>
          </a:r>
        </a:p>
      </xdr:txBody>
    </xdr:sp>
    <xdr:clientData/>
  </xdr:twoCellAnchor>
  <xdr:twoCellAnchor>
    <xdr:from>
      <xdr:col>14</xdr:col>
      <xdr:colOff>514350</xdr:colOff>
      <xdr:row>7</xdr:row>
      <xdr:rowOff>104776</xdr:rowOff>
    </xdr:from>
    <xdr:to>
      <xdr:col>16</xdr:col>
      <xdr:colOff>85725</xdr:colOff>
      <xdr:row>10</xdr:row>
      <xdr:rowOff>47626</xdr:rowOff>
    </xdr:to>
    <xdr:sp macro="" textlink="">
      <xdr:nvSpPr>
        <xdr:cNvPr id="2" name="Seta: para a Direita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20C1419-2E4D-456B-ABFD-8678D12F3463}"/>
            </a:ext>
          </a:extLst>
        </xdr:cNvPr>
        <xdr:cNvSpPr/>
      </xdr:nvSpPr>
      <xdr:spPr>
        <a:xfrm>
          <a:off x="11039475" y="1247776"/>
          <a:ext cx="752475" cy="51435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</xdr:col>
      <xdr:colOff>568744</xdr:colOff>
      <xdr:row>7</xdr:row>
      <xdr:rowOff>158165</xdr:rowOff>
    </xdr:from>
    <xdr:to>
      <xdr:col>4</xdr:col>
      <xdr:colOff>392280</xdr:colOff>
      <xdr:row>10</xdr:row>
      <xdr:rowOff>112045</xdr:rowOff>
    </xdr:to>
    <xdr:sp macro="[0]!formdesconto" textlink="">
      <xdr:nvSpPr>
        <xdr:cNvPr id="10" name="Retângulo: Cantos Arredondados 9">
          <a:extLst>
            <a:ext uri="{FF2B5EF4-FFF2-40B4-BE49-F238E27FC236}">
              <a16:creationId xmlns:a16="http://schemas.microsoft.com/office/drawing/2014/main" id="{96070D9A-F647-4364-887D-7EFCD2C10822}"/>
            </a:ext>
          </a:extLst>
        </xdr:cNvPr>
        <xdr:cNvSpPr/>
      </xdr:nvSpPr>
      <xdr:spPr>
        <a:xfrm>
          <a:off x="2711869" y="1301165"/>
          <a:ext cx="1118936" cy="525380"/>
        </a:xfrm>
        <a:prstGeom prst="roundRect">
          <a:avLst/>
        </a:prstGeom>
        <a:solidFill>
          <a:srgbClr val="7030A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50" b="1" i="0">
              <a:solidFill>
                <a:schemeClr val="bg1"/>
              </a:solidFill>
              <a:latin typeface="+mn-lt"/>
              <a:cs typeface="Arial" panose="020B0604020202020204" pitchFamily="34" charset="0"/>
            </a:rPr>
            <a:t>Descontos</a:t>
          </a:r>
        </a:p>
      </xdr:txBody>
    </xdr:sp>
    <xdr:clientData/>
  </xdr:twoCellAnchor>
  <xdr:twoCellAnchor editAs="oneCell">
    <xdr:from>
      <xdr:col>10</xdr:col>
      <xdr:colOff>257175</xdr:colOff>
      <xdr:row>8</xdr:row>
      <xdr:rowOff>130574</xdr:rowOff>
    </xdr:from>
    <xdr:to>
      <xdr:col>10</xdr:col>
      <xdr:colOff>516434</xdr:colOff>
      <xdr:row>9</xdr:row>
      <xdr:rowOff>184025</xdr:rowOff>
    </xdr:to>
    <xdr:pic macro="[0]!Pesquisar">
      <xdr:nvPicPr>
        <xdr:cNvPr id="11" name="Imagem 10">
          <a:extLst>
            <a:ext uri="{FF2B5EF4-FFF2-40B4-BE49-F238E27FC236}">
              <a16:creationId xmlns:a16="http://schemas.microsoft.com/office/drawing/2014/main" id="{05CAB04F-BB84-45EA-B2CC-A94D6C99EA0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29675" y="1464074"/>
          <a:ext cx="259259" cy="243951"/>
        </a:xfrm>
        <a:prstGeom prst="rect">
          <a:avLst/>
        </a:prstGeom>
        <a:noFill/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581026</xdr:colOff>
      <xdr:row>8</xdr:row>
      <xdr:rowOff>130574</xdr:rowOff>
    </xdr:from>
    <xdr:to>
      <xdr:col>10</xdr:col>
      <xdr:colOff>257175</xdr:colOff>
      <xdr:row>9</xdr:row>
      <xdr:rowOff>174500</xdr:rowOff>
    </xdr:to>
    <xdr:sp macro="" textlink="">
      <xdr:nvSpPr>
        <xdr:cNvPr id="13" name="CaixaDeTexto 12">
          <a:extLst>
            <a:ext uri="{FF2B5EF4-FFF2-40B4-BE49-F238E27FC236}">
              <a16:creationId xmlns:a16="http://schemas.microsoft.com/office/drawing/2014/main" id="{B8808521-291E-4EFC-BF77-F6A5BB9BE95E}"/>
            </a:ext>
          </a:extLst>
        </xdr:cNvPr>
        <xdr:cNvSpPr txBox="1"/>
      </xdr:nvSpPr>
      <xdr:spPr>
        <a:xfrm>
          <a:off x="6629401" y="1464074"/>
          <a:ext cx="2200274" cy="234426"/>
        </a:xfrm>
        <a:prstGeom prst="rect">
          <a:avLst/>
        </a:prstGeom>
        <a:solidFill>
          <a:schemeClr val="lt1"/>
        </a:solidFill>
        <a:ln w="12700" cap="rnd" cmpd="sng">
          <a:gradFill>
            <a:gsLst>
              <a:gs pos="0">
                <a:schemeClr val="accent1">
                  <a:lumMod val="45000"/>
                  <a:lumOff val="55000"/>
                </a:schemeClr>
              </a:gs>
              <a:gs pos="100000">
                <a:srgbClr val="63A0D7"/>
              </a:gs>
            </a:gsLst>
            <a:lin ang="11400000" scaled="0"/>
          </a:gra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Pesquise um paciente</a:t>
          </a:r>
        </a:p>
      </xdr:txBody>
    </xdr:sp>
    <xdr:clientData/>
  </xdr:twoCellAnchor>
  <xdr:twoCellAnchor editAs="oneCell">
    <xdr:from>
      <xdr:col>10</xdr:col>
      <xdr:colOff>514350</xdr:colOff>
      <xdr:row>8</xdr:row>
      <xdr:rowOff>130574</xdr:rowOff>
    </xdr:from>
    <xdr:to>
      <xdr:col>11</xdr:col>
      <xdr:colOff>154425</xdr:colOff>
      <xdr:row>9</xdr:row>
      <xdr:rowOff>184775</xdr:rowOff>
    </xdr:to>
    <xdr:pic macro="[0]!Limpar_Pesquisar">
      <xdr:nvPicPr>
        <xdr:cNvPr id="15" name="Imagem 14">
          <a:extLst>
            <a:ext uri="{FF2B5EF4-FFF2-40B4-BE49-F238E27FC236}">
              <a16:creationId xmlns:a16="http://schemas.microsoft.com/office/drawing/2014/main" id="{1789173A-39AD-4C17-96E0-441288D26458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1464074"/>
          <a:ext cx="259200" cy="24470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0</xdr:colOff>
      <xdr:row>2</xdr:row>
      <xdr:rowOff>114300</xdr:rowOff>
    </xdr:from>
    <xdr:to>
      <xdr:col>2</xdr:col>
      <xdr:colOff>1285875</xdr:colOff>
      <xdr:row>5</xdr:row>
      <xdr:rowOff>85725</xdr:rowOff>
    </xdr:to>
    <xdr:sp macro="" textlink="">
      <xdr:nvSpPr>
        <xdr:cNvPr id="5" name="Faixa de Opções: Inclinada para Baixo 4">
          <a:extLst>
            <a:ext uri="{FF2B5EF4-FFF2-40B4-BE49-F238E27FC236}">
              <a16:creationId xmlns:a16="http://schemas.microsoft.com/office/drawing/2014/main" id="{03A1088B-9249-4C3A-B94E-ED0D2565E366}"/>
            </a:ext>
          </a:extLst>
        </xdr:cNvPr>
        <xdr:cNvSpPr/>
      </xdr:nvSpPr>
      <xdr:spPr>
        <a:xfrm>
          <a:off x="76200" y="304800"/>
          <a:ext cx="1476375" cy="542925"/>
        </a:xfrm>
        <a:prstGeom prst="ribbon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LOGO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9525</xdr:colOff>
      <xdr:row>7</xdr:row>
      <xdr:rowOff>152400</xdr:rowOff>
    </xdr:from>
    <xdr:to>
      <xdr:col>2</xdr:col>
      <xdr:colOff>1128461</xdr:colOff>
      <xdr:row>10</xdr:row>
      <xdr:rowOff>106280</xdr:rowOff>
    </xdr:to>
    <xdr:sp macro="[0]!Alt_status" textlink="">
      <xdr:nvSpPr>
        <xdr:cNvPr id="6" name="Retângulo: Cantos Arredondados 5" hidden="1">
          <a:extLst>
            <a:ext uri="{FF2B5EF4-FFF2-40B4-BE49-F238E27FC236}">
              <a16:creationId xmlns:a16="http://schemas.microsoft.com/office/drawing/2014/main" id="{2EE3EE5C-27D0-41B8-AD8C-2F5A55FCB8E8}"/>
            </a:ext>
          </a:extLst>
        </xdr:cNvPr>
        <xdr:cNvSpPr/>
      </xdr:nvSpPr>
      <xdr:spPr>
        <a:xfrm>
          <a:off x="276225" y="1295400"/>
          <a:ext cx="1118936" cy="525380"/>
        </a:xfrm>
        <a:prstGeom prst="roundRect">
          <a:avLst/>
        </a:prstGeom>
        <a:solidFill>
          <a:schemeClr val="accent5">
            <a:lumMod val="75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50" b="1" i="0">
              <a:solidFill>
                <a:schemeClr val="bg1"/>
              </a:solidFill>
              <a:latin typeface="+mn-lt"/>
              <a:cs typeface="Arial" panose="020B0604020202020204" pitchFamily="34" charset="0"/>
            </a:rPr>
            <a:t>Atualizar Pagamentos</a:t>
          </a:r>
        </a:p>
      </xdr:txBody>
    </xdr:sp>
    <xdr:clientData/>
  </xdr:twoCellAnchor>
  <xdr:twoCellAnchor>
    <xdr:from>
      <xdr:col>2</xdr:col>
      <xdr:colOff>47624</xdr:colOff>
      <xdr:row>7</xdr:row>
      <xdr:rowOff>152400</xdr:rowOff>
    </xdr:from>
    <xdr:to>
      <xdr:col>2</xdr:col>
      <xdr:colOff>1200149</xdr:colOff>
      <xdr:row>10</xdr:row>
      <xdr:rowOff>106280</xdr:rowOff>
    </xdr:to>
    <xdr:sp macro="[0]!Alt_dash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6AC13CEF-7215-429F-8F34-0A4B6FBC78CC}"/>
            </a:ext>
          </a:extLst>
        </xdr:cNvPr>
        <xdr:cNvSpPr/>
      </xdr:nvSpPr>
      <xdr:spPr>
        <a:xfrm>
          <a:off x="314324" y="1295400"/>
          <a:ext cx="1152525" cy="525380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50" b="1" i="0">
              <a:solidFill>
                <a:schemeClr val="bg1"/>
              </a:solidFill>
              <a:latin typeface="+mn-lt"/>
              <a:cs typeface="Arial" panose="020B0604020202020204" pitchFamily="34" charset="0"/>
            </a:rPr>
            <a:t>Atualizar Dashboard</a:t>
          </a:r>
        </a:p>
      </xdr:txBody>
    </xdr:sp>
    <xdr:clientData/>
  </xdr:twoCellAnchor>
  <xdr:twoCellAnchor>
    <xdr:from>
      <xdr:col>12</xdr:col>
      <xdr:colOff>1095375</xdr:colOff>
      <xdr:row>7</xdr:row>
      <xdr:rowOff>104775</xdr:rowOff>
    </xdr:from>
    <xdr:to>
      <xdr:col>13</xdr:col>
      <xdr:colOff>619125</xdr:colOff>
      <xdr:row>10</xdr:row>
      <xdr:rowOff>47625</xdr:rowOff>
    </xdr:to>
    <xdr:sp macro="" textlink="">
      <xdr:nvSpPr>
        <xdr:cNvPr id="8" name="Seta: para a Direita 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3369B11-0B77-433E-95AD-795FB2A8837C}"/>
            </a:ext>
          </a:extLst>
        </xdr:cNvPr>
        <xdr:cNvSpPr/>
      </xdr:nvSpPr>
      <xdr:spPr>
        <a:xfrm>
          <a:off x="11058525" y="1247775"/>
          <a:ext cx="752475" cy="51435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12</xdr:col>
      <xdr:colOff>28575</xdr:colOff>
      <xdr:row>7</xdr:row>
      <xdr:rowOff>104775</xdr:rowOff>
    </xdr:from>
    <xdr:to>
      <xdr:col>12</xdr:col>
      <xdr:colOff>781050</xdr:colOff>
      <xdr:row>10</xdr:row>
      <xdr:rowOff>47625</xdr:rowOff>
    </xdr:to>
    <xdr:sp macro="" textlink="">
      <xdr:nvSpPr>
        <xdr:cNvPr id="9" name="Seta: para a Direita 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82FB22A6-4D5E-4225-8166-0BE5655ACCA8}"/>
            </a:ext>
          </a:extLst>
        </xdr:cNvPr>
        <xdr:cNvSpPr/>
      </xdr:nvSpPr>
      <xdr:spPr>
        <a:xfrm rot="10800000">
          <a:off x="9991725" y="1247775"/>
          <a:ext cx="752475" cy="51435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10</xdr:col>
      <xdr:colOff>676276</xdr:colOff>
      <xdr:row>8</xdr:row>
      <xdr:rowOff>133350</xdr:rowOff>
    </xdr:from>
    <xdr:to>
      <xdr:col>11</xdr:col>
      <xdr:colOff>173535</xdr:colOff>
      <xdr:row>10</xdr:row>
      <xdr:rowOff>0</xdr:rowOff>
    </xdr:to>
    <xdr:pic macro="[0]!Pesquisar">
      <xdr:nvPicPr>
        <xdr:cNvPr id="10" name="Imagem 9">
          <a:extLst>
            <a:ext uri="{FF2B5EF4-FFF2-40B4-BE49-F238E27FC236}">
              <a16:creationId xmlns:a16="http://schemas.microsoft.com/office/drawing/2014/main" id="{5D7EA51F-2D78-495A-AB30-413E59DF58A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20151" y="1466850"/>
          <a:ext cx="259259" cy="247650"/>
        </a:xfrm>
        <a:prstGeom prst="rect">
          <a:avLst/>
        </a:prstGeom>
        <a:noFill/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8</xdr:col>
      <xdr:colOff>104775</xdr:colOff>
      <xdr:row>8</xdr:row>
      <xdr:rowOff>133350</xdr:rowOff>
    </xdr:from>
    <xdr:to>
      <xdr:col>10</xdr:col>
      <xdr:colOff>664575</xdr:colOff>
      <xdr:row>9</xdr:row>
      <xdr:rowOff>176850</xdr:rowOff>
    </xdr:to>
    <xdr:sp macro="" textlink="">
      <xdr:nvSpPr>
        <xdr:cNvPr id="11" name="CaixaDeTexto 10">
          <a:extLst>
            <a:ext uri="{FF2B5EF4-FFF2-40B4-BE49-F238E27FC236}">
              <a16:creationId xmlns:a16="http://schemas.microsoft.com/office/drawing/2014/main" id="{03B0DD26-0361-49A8-BC25-B0E0521A3C90}"/>
            </a:ext>
          </a:extLst>
        </xdr:cNvPr>
        <xdr:cNvSpPr txBox="1"/>
      </xdr:nvSpPr>
      <xdr:spPr>
        <a:xfrm>
          <a:off x="6648450" y="1466850"/>
          <a:ext cx="2160000" cy="234000"/>
        </a:xfrm>
        <a:prstGeom prst="rect">
          <a:avLst/>
        </a:prstGeom>
        <a:solidFill>
          <a:schemeClr val="lt1"/>
        </a:solidFill>
        <a:ln w="12700" cap="rnd" cmpd="sng">
          <a:gradFill>
            <a:gsLst>
              <a:gs pos="0">
                <a:schemeClr val="accent1">
                  <a:lumMod val="45000"/>
                  <a:lumOff val="55000"/>
                </a:schemeClr>
              </a:gs>
              <a:gs pos="100000">
                <a:srgbClr val="63A0D7"/>
              </a:gs>
            </a:gsLst>
            <a:lin ang="11400000" scaled="0"/>
          </a:gra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Pesquise um paciente</a:t>
          </a:r>
        </a:p>
      </xdr:txBody>
    </xdr:sp>
    <xdr:clientData/>
  </xdr:twoCellAnchor>
  <xdr:twoCellAnchor editAs="oneCell">
    <xdr:from>
      <xdr:col>11</xdr:col>
      <xdr:colOff>171451</xdr:colOff>
      <xdr:row>8</xdr:row>
      <xdr:rowOff>133350</xdr:rowOff>
    </xdr:from>
    <xdr:to>
      <xdr:col>11</xdr:col>
      <xdr:colOff>430651</xdr:colOff>
      <xdr:row>10</xdr:row>
      <xdr:rowOff>750</xdr:rowOff>
    </xdr:to>
    <xdr:pic macro="[0]!Limpar_Pesquisar">
      <xdr:nvPicPr>
        <xdr:cNvPr id="12" name="Imagem 11">
          <a:extLst>
            <a:ext uri="{FF2B5EF4-FFF2-40B4-BE49-F238E27FC236}">
              <a16:creationId xmlns:a16="http://schemas.microsoft.com/office/drawing/2014/main" id="{777742FC-98FE-4A87-AC76-7B7C452EBD13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77326" y="1466850"/>
          <a:ext cx="259200" cy="248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19050</xdr:colOff>
      <xdr:row>2</xdr:row>
      <xdr:rowOff>123825</xdr:rowOff>
    </xdr:from>
    <xdr:to>
      <xdr:col>2</xdr:col>
      <xdr:colOff>1304925</xdr:colOff>
      <xdr:row>5</xdr:row>
      <xdr:rowOff>95250</xdr:rowOff>
    </xdr:to>
    <xdr:sp macro="" textlink="">
      <xdr:nvSpPr>
        <xdr:cNvPr id="13" name="Faixa de Opções: Inclinada para Baixo 12">
          <a:extLst>
            <a:ext uri="{FF2B5EF4-FFF2-40B4-BE49-F238E27FC236}">
              <a16:creationId xmlns:a16="http://schemas.microsoft.com/office/drawing/2014/main" id="{EE975AFC-62D7-46C9-8C25-265E5173B962}"/>
            </a:ext>
          </a:extLst>
        </xdr:cNvPr>
        <xdr:cNvSpPr/>
      </xdr:nvSpPr>
      <xdr:spPr>
        <a:xfrm>
          <a:off x="95250" y="314325"/>
          <a:ext cx="1476375" cy="542925"/>
        </a:xfrm>
        <a:prstGeom prst="ribbon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LOGO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20</xdr:col>
      <xdr:colOff>537926</xdr:colOff>
      <xdr:row>30</xdr:row>
      <xdr:rowOff>114300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D88CD5AF-9860-4534-8F30-1D73B90422BD}"/>
            </a:ext>
          </a:extLst>
        </xdr:cNvPr>
        <xdr:cNvSpPr/>
      </xdr:nvSpPr>
      <xdr:spPr>
        <a:xfrm>
          <a:off x="0" y="0"/>
          <a:ext cx="12739451" cy="5800725"/>
        </a:xfrm>
        <a:prstGeom prst="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97590</xdr:colOff>
      <xdr:row>21</xdr:row>
      <xdr:rowOff>149090</xdr:rowOff>
    </xdr:from>
    <xdr:to>
      <xdr:col>20</xdr:col>
      <xdr:colOff>485965</xdr:colOff>
      <xdr:row>30</xdr:row>
      <xdr:rowOff>23423</xdr:rowOff>
    </xdr:to>
    <xdr:sp macro="" textlink="">
      <xdr:nvSpPr>
        <xdr:cNvPr id="77" name="Retângulo: Cantos Superiores Arredondados 76">
          <a:extLst>
            <a:ext uri="{FF2B5EF4-FFF2-40B4-BE49-F238E27FC236}">
              <a16:creationId xmlns:a16="http://schemas.microsoft.com/office/drawing/2014/main" id="{750674EA-E293-4ECD-B329-E20F399AA66D}"/>
            </a:ext>
          </a:extLst>
        </xdr:cNvPr>
        <xdr:cNvSpPr/>
      </xdr:nvSpPr>
      <xdr:spPr>
        <a:xfrm rot="10800000">
          <a:off x="97590" y="4165985"/>
          <a:ext cx="12567883" cy="990788"/>
        </a:xfrm>
        <a:prstGeom prst="round2SameRect">
          <a:avLst/>
        </a:prstGeom>
        <a:solidFill>
          <a:schemeClr val="accent1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0</xdr:colOff>
      <xdr:row>0</xdr:row>
      <xdr:rowOff>9525</xdr:rowOff>
    </xdr:from>
    <xdr:to>
      <xdr:col>21</xdr:col>
      <xdr:colOff>0</xdr:colOff>
      <xdr:row>6</xdr:row>
      <xdr:rowOff>9525</xdr:rowOff>
    </xdr:to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id="{9F7512DB-88EF-4D6E-ABF0-BD1D5F7BE2DB}"/>
            </a:ext>
          </a:extLst>
        </xdr:cNvPr>
        <xdr:cNvSpPr/>
      </xdr:nvSpPr>
      <xdr:spPr>
        <a:xfrm>
          <a:off x="0" y="9525"/>
          <a:ext cx="12801600" cy="1143000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0</xdr:colOff>
      <xdr:row>0</xdr:row>
      <xdr:rowOff>161925</xdr:rowOff>
    </xdr:from>
    <xdr:to>
      <xdr:col>21</xdr:col>
      <xdr:colOff>0</xdr:colOff>
      <xdr:row>5</xdr:row>
      <xdr:rowOff>19050</xdr:rowOff>
    </xdr:to>
    <xdr:sp macro="" textlink="">
      <xdr:nvSpPr>
        <xdr:cNvPr id="5" name="Retângulo 4">
          <a:extLst>
            <a:ext uri="{FF2B5EF4-FFF2-40B4-BE49-F238E27FC236}">
              <a16:creationId xmlns:a16="http://schemas.microsoft.com/office/drawing/2014/main" id="{657E4E0D-D81F-4678-83A6-998A81793551}"/>
            </a:ext>
          </a:extLst>
        </xdr:cNvPr>
        <xdr:cNvSpPr/>
      </xdr:nvSpPr>
      <xdr:spPr>
        <a:xfrm>
          <a:off x="0" y="161925"/>
          <a:ext cx="12801600" cy="809625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110289</xdr:colOff>
      <xdr:row>2</xdr:row>
      <xdr:rowOff>0</xdr:rowOff>
    </xdr:from>
    <xdr:to>
      <xdr:col>12</xdr:col>
      <xdr:colOff>307808</xdr:colOff>
      <xdr:row>4</xdr:row>
      <xdr:rowOff>0</xdr:rowOff>
    </xdr:to>
    <xdr:sp macro="" textlink="">
      <xdr:nvSpPr>
        <xdr:cNvPr id="7" name="CaixaDeTexto 6">
          <a:extLst>
            <a:ext uri="{FF2B5EF4-FFF2-40B4-BE49-F238E27FC236}">
              <a16:creationId xmlns:a16="http://schemas.microsoft.com/office/drawing/2014/main" id="{4AC9F4DF-5C1D-4BF0-8CB7-AD16ED155E96}"/>
            </a:ext>
          </a:extLst>
        </xdr:cNvPr>
        <xdr:cNvSpPr txBox="1"/>
      </xdr:nvSpPr>
      <xdr:spPr>
        <a:xfrm>
          <a:off x="3168315" y="381000"/>
          <a:ext cx="4478756" cy="3810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2200">
              <a:solidFill>
                <a:schemeClr val="accent1">
                  <a:lumMod val="50000"/>
                </a:schemeClr>
              </a:solidFill>
              <a:latin typeface="Berlin Sans FB Demi" panose="020E0802020502020306" pitchFamily="34" charset="0"/>
            </a:rPr>
            <a:t>PAINEL</a:t>
          </a:r>
          <a:r>
            <a:rPr lang="pt-BR" sz="2200" baseline="0">
              <a:solidFill>
                <a:schemeClr val="accent1">
                  <a:lumMod val="50000"/>
                </a:schemeClr>
              </a:solidFill>
              <a:latin typeface="Berlin Sans FB Demi" panose="020E0802020502020306" pitchFamily="34" charset="0"/>
            </a:rPr>
            <a:t> DE INFORMAÇÕES</a:t>
          </a:r>
          <a:endParaRPr lang="pt-BR" sz="2200">
            <a:solidFill>
              <a:schemeClr val="accent1">
                <a:lumMod val="50000"/>
              </a:schemeClr>
            </a:solidFill>
            <a:latin typeface="Berlin Sans FB Demi" panose="020E0802020502020306" pitchFamily="34" charset="0"/>
          </a:endParaRPr>
        </a:p>
      </xdr:txBody>
    </xdr:sp>
    <xdr:clientData/>
  </xdr:twoCellAnchor>
  <xdr:twoCellAnchor>
    <xdr:from>
      <xdr:col>13</xdr:col>
      <xdr:colOff>437931</xdr:colOff>
      <xdr:row>2</xdr:row>
      <xdr:rowOff>87586</xdr:rowOff>
    </xdr:from>
    <xdr:to>
      <xdr:col>19</xdr:col>
      <xdr:colOff>295604</xdr:colOff>
      <xdr:row>4</xdr:row>
      <xdr:rowOff>43792</xdr:rowOff>
    </xdr:to>
    <xdr:sp macro="" textlink="">
      <xdr:nvSpPr>
        <xdr:cNvPr id="10" name="CaixaDeTexto 9">
          <a:extLst>
            <a:ext uri="{FF2B5EF4-FFF2-40B4-BE49-F238E27FC236}">
              <a16:creationId xmlns:a16="http://schemas.microsoft.com/office/drawing/2014/main" id="{B867D758-26FE-43C4-9AF9-6355787026FD}"/>
            </a:ext>
          </a:extLst>
        </xdr:cNvPr>
        <xdr:cNvSpPr txBox="1"/>
      </xdr:nvSpPr>
      <xdr:spPr>
        <a:xfrm>
          <a:off x="8408276" y="459827"/>
          <a:ext cx="3536294" cy="32844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300">
              <a:latin typeface="Monotype Corsiva" panose="03010101010201010101" pitchFamily="66" charset="0"/>
            </a:rPr>
            <a:t>"slogan slogan slogan slogan slogan slogan slogan slogan"</a:t>
          </a:r>
        </a:p>
      </xdr:txBody>
    </xdr:sp>
    <xdr:clientData/>
  </xdr:twoCellAnchor>
  <xdr:twoCellAnchor>
    <xdr:from>
      <xdr:col>0</xdr:col>
      <xdr:colOff>97658</xdr:colOff>
      <xdr:row>10</xdr:row>
      <xdr:rowOff>38100</xdr:rowOff>
    </xdr:from>
    <xdr:to>
      <xdr:col>20</xdr:col>
      <xdr:colOff>485775</xdr:colOff>
      <xdr:row>26</xdr:row>
      <xdr:rowOff>70385</xdr:rowOff>
    </xdr:to>
    <xdr:sp macro="" textlink="">
      <xdr:nvSpPr>
        <xdr:cNvPr id="12" name="Retângulo 11">
          <a:extLst>
            <a:ext uri="{FF2B5EF4-FFF2-40B4-BE49-F238E27FC236}">
              <a16:creationId xmlns:a16="http://schemas.microsoft.com/office/drawing/2014/main" id="{999E69DD-EBA9-40A6-8BF5-ADD6EA2F322C}"/>
            </a:ext>
          </a:extLst>
        </xdr:cNvPr>
        <xdr:cNvSpPr/>
      </xdr:nvSpPr>
      <xdr:spPr>
        <a:xfrm>
          <a:off x="97658" y="1943100"/>
          <a:ext cx="12589642" cy="305171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96824</xdr:colOff>
      <xdr:row>13</xdr:row>
      <xdr:rowOff>175284</xdr:rowOff>
    </xdr:from>
    <xdr:to>
      <xdr:col>20</xdr:col>
      <xdr:colOff>485775</xdr:colOff>
      <xdr:row>20</xdr:row>
      <xdr:rowOff>188115</xdr:rowOff>
    </xdr:to>
    <xdr:sp macro="" textlink="">
      <xdr:nvSpPr>
        <xdr:cNvPr id="66" name="Retângulo: Cantos Superiores Arredondados 65">
          <a:extLst>
            <a:ext uri="{FF2B5EF4-FFF2-40B4-BE49-F238E27FC236}">
              <a16:creationId xmlns:a16="http://schemas.microsoft.com/office/drawing/2014/main" id="{95568216-3B7C-4459-B20F-310277147BE4}"/>
            </a:ext>
          </a:extLst>
        </xdr:cNvPr>
        <xdr:cNvSpPr/>
      </xdr:nvSpPr>
      <xdr:spPr>
        <a:xfrm rot="10800000">
          <a:off x="96824" y="2651784"/>
          <a:ext cx="12580951" cy="1346331"/>
        </a:xfrm>
        <a:prstGeom prst="round2SameRect">
          <a:avLst/>
        </a:prstGeom>
        <a:solidFill>
          <a:schemeClr val="accent1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99204</xdr:colOff>
      <xdr:row>15</xdr:row>
      <xdr:rowOff>187190</xdr:rowOff>
    </xdr:from>
    <xdr:to>
      <xdr:col>20</xdr:col>
      <xdr:colOff>485969</xdr:colOff>
      <xdr:row>20</xdr:row>
      <xdr:rowOff>163376</xdr:rowOff>
    </xdr:to>
    <xdr:sp macro="" textlink="">
      <xdr:nvSpPr>
        <xdr:cNvPr id="65" name="Retângulo: Cantos Superiores Arredondados 64">
          <a:extLst>
            <a:ext uri="{FF2B5EF4-FFF2-40B4-BE49-F238E27FC236}">
              <a16:creationId xmlns:a16="http://schemas.microsoft.com/office/drawing/2014/main" id="{6DB99038-3FA3-4031-BA24-068881CD2C5B}"/>
            </a:ext>
          </a:extLst>
        </xdr:cNvPr>
        <xdr:cNvSpPr/>
      </xdr:nvSpPr>
      <xdr:spPr>
        <a:xfrm rot="10800000">
          <a:off x="99204" y="3044690"/>
          <a:ext cx="12588290" cy="928686"/>
        </a:xfrm>
        <a:prstGeom prst="round2SameRect">
          <a:avLst/>
        </a:prstGeom>
        <a:solidFill>
          <a:schemeClr val="accent1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160790</xdr:colOff>
      <xdr:row>11</xdr:row>
      <xdr:rowOff>32183</xdr:rowOff>
    </xdr:from>
    <xdr:to>
      <xdr:col>4</xdr:col>
      <xdr:colOff>267557</xdr:colOff>
      <xdr:row>14</xdr:row>
      <xdr:rowOff>82091</xdr:rowOff>
    </xdr:to>
    <xdr:sp macro="" textlink="">
      <xdr:nvSpPr>
        <xdr:cNvPr id="21" name="Retângulo: Cantos Arredondados 20">
          <a:extLst>
            <a:ext uri="{FF2B5EF4-FFF2-40B4-BE49-F238E27FC236}">
              <a16:creationId xmlns:a16="http://schemas.microsoft.com/office/drawing/2014/main" id="{20F76F0C-C837-477C-8AC2-9D8652AFDB8E}"/>
            </a:ext>
          </a:extLst>
        </xdr:cNvPr>
        <xdr:cNvSpPr/>
      </xdr:nvSpPr>
      <xdr:spPr>
        <a:xfrm>
          <a:off x="160790" y="2127683"/>
          <a:ext cx="2545167" cy="621408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181938</xdr:colOff>
      <xdr:row>11</xdr:row>
      <xdr:rowOff>20901</xdr:rowOff>
    </xdr:from>
    <xdr:to>
      <xdr:col>3</xdr:col>
      <xdr:colOff>149832</xdr:colOff>
      <xdr:row>12</xdr:row>
      <xdr:rowOff>122976</xdr:rowOff>
    </xdr:to>
    <xdr:sp macro="" textlink="">
      <xdr:nvSpPr>
        <xdr:cNvPr id="22" name="CaixaDeTexto 21">
          <a:extLst>
            <a:ext uri="{FF2B5EF4-FFF2-40B4-BE49-F238E27FC236}">
              <a16:creationId xmlns:a16="http://schemas.microsoft.com/office/drawing/2014/main" id="{FF3D4E74-6BC6-473D-AD4B-5A6FB0ED6386}"/>
            </a:ext>
          </a:extLst>
        </xdr:cNvPr>
        <xdr:cNvSpPr txBox="1"/>
      </xdr:nvSpPr>
      <xdr:spPr>
        <a:xfrm>
          <a:off x="181938" y="2116401"/>
          <a:ext cx="1796694" cy="292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200" b="1">
              <a:solidFill>
                <a:schemeClr val="tx1"/>
              </a:solidFill>
              <a:latin typeface="+mn-lt"/>
            </a:rPr>
            <a:t>Resta Receber Neste Mês</a:t>
          </a:r>
        </a:p>
      </xdr:txBody>
    </xdr:sp>
    <xdr:clientData/>
  </xdr:twoCellAnchor>
  <xdr:twoCellAnchor>
    <xdr:from>
      <xdr:col>0</xdr:col>
      <xdr:colOff>278259</xdr:colOff>
      <xdr:row>12</xdr:row>
      <xdr:rowOff>76111</xdr:rowOff>
    </xdr:from>
    <xdr:to>
      <xdr:col>3</xdr:col>
      <xdr:colOff>203342</xdr:colOff>
      <xdr:row>14</xdr:row>
      <xdr:rowOff>1196</xdr:rowOff>
    </xdr:to>
    <xdr:sp macro="" textlink="Parâmetros!AF3">
      <xdr:nvSpPr>
        <xdr:cNvPr id="13" name="CaixaDeTexto 12">
          <a:extLst>
            <a:ext uri="{FF2B5EF4-FFF2-40B4-BE49-F238E27FC236}">
              <a16:creationId xmlns:a16="http://schemas.microsoft.com/office/drawing/2014/main" id="{96283E17-2C63-4BEA-A9EA-EBEDBB1689F4}"/>
            </a:ext>
          </a:extLst>
        </xdr:cNvPr>
        <xdr:cNvSpPr txBox="1"/>
      </xdr:nvSpPr>
      <xdr:spPr>
        <a:xfrm>
          <a:off x="278259" y="2362111"/>
          <a:ext cx="1753883" cy="3060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D0A3D872-939C-4B97-8708-22DD915662A0}" type="TxLink">
            <a:rPr lang="en-US" sz="2000" b="1" i="0" u="none" strike="noStrike">
              <a:solidFill>
                <a:srgbClr val="70AD47"/>
              </a:solidFill>
              <a:latin typeface="Calibri"/>
              <a:ea typeface="+mn-ea"/>
              <a:cs typeface="Calibri"/>
            </a:rPr>
            <a:pPr marL="0" indent="0" algn="ctr"/>
            <a:t> R$1.800,30 </a:t>
          </a:fld>
          <a:endParaRPr lang="pt-BR" sz="2000" b="1" i="0" u="none" strike="noStrike">
            <a:solidFill>
              <a:schemeClr val="accent1"/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11</xdr:col>
      <xdr:colOff>66649</xdr:colOff>
      <xdr:row>21</xdr:row>
      <xdr:rowOff>120020</xdr:rowOff>
    </xdr:from>
    <xdr:to>
      <xdr:col>15</xdr:col>
      <xdr:colOff>173415</xdr:colOff>
      <xdr:row>25</xdr:row>
      <xdr:rowOff>8003</xdr:rowOff>
    </xdr:to>
    <xdr:sp macro="" textlink="">
      <xdr:nvSpPr>
        <xdr:cNvPr id="27" name="Retângulo: Cantos Arredondados 26">
          <a:extLst>
            <a:ext uri="{FF2B5EF4-FFF2-40B4-BE49-F238E27FC236}">
              <a16:creationId xmlns:a16="http://schemas.microsoft.com/office/drawing/2014/main" id="{90168A16-4714-4596-816F-FF30DF27B0F7}"/>
            </a:ext>
          </a:extLst>
        </xdr:cNvPr>
        <xdr:cNvSpPr/>
      </xdr:nvSpPr>
      <xdr:spPr>
        <a:xfrm>
          <a:off x="6781774" y="4120520"/>
          <a:ext cx="2545166" cy="621408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11</xdr:col>
      <xdr:colOff>87797</xdr:colOff>
      <xdr:row>21</xdr:row>
      <xdr:rowOff>88380</xdr:rowOff>
    </xdr:from>
    <xdr:to>
      <xdr:col>14</xdr:col>
      <xdr:colOff>55690</xdr:colOff>
      <xdr:row>23</xdr:row>
      <xdr:rowOff>31337</xdr:rowOff>
    </xdr:to>
    <xdr:sp macro="" textlink="">
      <xdr:nvSpPr>
        <xdr:cNvPr id="28" name="CaixaDeTexto 27">
          <a:extLst>
            <a:ext uri="{FF2B5EF4-FFF2-40B4-BE49-F238E27FC236}">
              <a16:creationId xmlns:a16="http://schemas.microsoft.com/office/drawing/2014/main" id="{CFBA61BC-A7FA-4C53-9D21-3EF1096D0BAF}"/>
            </a:ext>
          </a:extLst>
        </xdr:cNvPr>
        <xdr:cNvSpPr txBox="1"/>
      </xdr:nvSpPr>
      <xdr:spPr>
        <a:xfrm>
          <a:off x="6802922" y="4088880"/>
          <a:ext cx="1796693" cy="29538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200" b="1">
              <a:solidFill>
                <a:schemeClr val="tx1"/>
              </a:solidFill>
              <a:latin typeface="+mn-lt"/>
            </a:rPr>
            <a:t>Pagamentos Pendentes</a:t>
          </a:r>
          <a:endParaRPr lang="pt-BR" sz="10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205517</xdr:colOff>
      <xdr:row>22</xdr:row>
      <xdr:rowOff>22772</xdr:rowOff>
    </xdr:from>
    <xdr:to>
      <xdr:col>15</xdr:col>
      <xdr:colOff>119899</xdr:colOff>
      <xdr:row>24</xdr:row>
      <xdr:rowOff>116952</xdr:rowOff>
    </xdr:to>
    <xdr:sp macro="" textlink="">
      <xdr:nvSpPr>
        <xdr:cNvPr id="29" name="Elipse 28">
          <a:extLst>
            <a:ext uri="{FF2B5EF4-FFF2-40B4-BE49-F238E27FC236}">
              <a16:creationId xmlns:a16="http://schemas.microsoft.com/office/drawing/2014/main" id="{5617FE77-3D2F-4E25-8EBD-9CA91AE4CBB5}"/>
            </a:ext>
          </a:extLst>
        </xdr:cNvPr>
        <xdr:cNvSpPr/>
      </xdr:nvSpPr>
      <xdr:spPr>
        <a:xfrm>
          <a:off x="8749442" y="4185197"/>
          <a:ext cx="523982" cy="475180"/>
        </a:xfrm>
        <a:prstGeom prst="ellipse">
          <a:avLst/>
        </a:prstGeom>
        <a:solidFill>
          <a:schemeClr val="accent4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11</xdr:col>
      <xdr:colOff>184118</xdr:colOff>
      <xdr:row>23</xdr:row>
      <xdr:rowOff>29407</xdr:rowOff>
    </xdr:from>
    <xdr:to>
      <xdr:col>14</xdr:col>
      <xdr:colOff>109200</xdr:colOff>
      <xdr:row>24</xdr:row>
      <xdr:rowOff>144992</xdr:rowOff>
    </xdr:to>
    <xdr:sp macro="" textlink="Parâmetros!R3">
      <xdr:nvSpPr>
        <xdr:cNvPr id="30" name="CaixaDeTexto 29">
          <a:extLst>
            <a:ext uri="{FF2B5EF4-FFF2-40B4-BE49-F238E27FC236}">
              <a16:creationId xmlns:a16="http://schemas.microsoft.com/office/drawing/2014/main" id="{5177FDCE-21B1-4635-90F5-E94E68AD3BA2}"/>
            </a:ext>
          </a:extLst>
        </xdr:cNvPr>
        <xdr:cNvSpPr txBox="1"/>
      </xdr:nvSpPr>
      <xdr:spPr>
        <a:xfrm>
          <a:off x="6899243" y="4382332"/>
          <a:ext cx="1753882" cy="3060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033799D-F849-40FB-9609-8F937029C8B7}" type="TxLink">
            <a:rPr lang="en-US" sz="2000" b="1" i="0" u="none" strike="noStrike">
              <a:solidFill>
                <a:srgbClr val="BF8F00"/>
              </a:solidFill>
              <a:latin typeface="Calibri"/>
              <a:cs typeface="Calibri"/>
            </a:rPr>
            <a:pPr algn="ctr"/>
            <a:t>2</a:t>
          </a:fld>
          <a:endParaRPr lang="pt-BR" sz="2000" b="1">
            <a:solidFill>
              <a:schemeClr val="accent1"/>
            </a:solidFill>
          </a:endParaRPr>
        </a:p>
      </xdr:txBody>
    </xdr:sp>
    <xdr:clientData/>
  </xdr:twoCellAnchor>
  <xdr:twoCellAnchor>
    <xdr:from>
      <xdr:col>0</xdr:col>
      <xdr:colOff>172574</xdr:colOff>
      <xdr:row>16</xdr:row>
      <xdr:rowOff>127701</xdr:rowOff>
    </xdr:from>
    <xdr:to>
      <xdr:col>4</xdr:col>
      <xdr:colOff>279341</xdr:colOff>
      <xdr:row>19</xdr:row>
      <xdr:rowOff>178721</xdr:rowOff>
    </xdr:to>
    <xdr:sp macro="" textlink="">
      <xdr:nvSpPr>
        <xdr:cNvPr id="31" name="Retângulo: Cantos Arredondados 30">
          <a:extLst>
            <a:ext uri="{FF2B5EF4-FFF2-40B4-BE49-F238E27FC236}">
              <a16:creationId xmlns:a16="http://schemas.microsoft.com/office/drawing/2014/main" id="{0A95AADB-098C-4A3B-840D-3F1AEB836774}"/>
            </a:ext>
          </a:extLst>
        </xdr:cNvPr>
        <xdr:cNvSpPr/>
      </xdr:nvSpPr>
      <xdr:spPr>
        <a:xfrm>
          <a:off x="172574" y="3175701"/>
          <a:ext cx="2545167" cy="62252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193720</xdr:colOff>
      <xdr:row>16</xdr:row>
      <xdr:rowOff>106298</xdr:rowOff>
    </xdr:from>
    <xdr:to>
      <xdr:col>3</xdr:col>
      <xdr:colOff>571499</xdr:colOff>
      <xdr:row>18</xdr:row>
      <xdr:rowOff>19050</xdr:rowOff>
    </xdr:to>
    <xdr:sp macro="" textlink="">
      <xdr:nvSpPr>
        <xdr:cNvPr id="32" name="CaixaDeTexto 31">
          <a:extLst>
            <a:ext uri="{FF2B5EF4-FFF2-40B4-BE49-F238E27FC236}">
              <a16:creationId xmlns:a16="http://schemas.microsoft.com/office/drawing/2014/main" id="{27B683C3-7D84-417E-9E2E-449ACBF3C0F9}"/>
            </a:ext>
          </a:extLst>
        </xdr:cNvPr>
        <xdr:cNvSpPr txBox="1"/>
      </xdr:nvSpPr>
      <xdr:spPr>
        <a:xfrm>
          <a:off x="193720" y="3154298"/>
          <a:ext cx="2206579" cy="29375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pt-BR" sz="1200" b="1">
              <a:solidFill>
                <a:schemeClr val="tx1"/>
              </a:solidFill>
              <a:latin typeface="+mn-lt"/>
            </a:rPr>
            <a:t>Total</a:t>
          </a:r>
          <a:r>
            <a:rPr lang="pt-BR" sz="1200" b="1" baseline="0">
              <a:solidFill>
                <a:schemeClr val="tx1"/>
              </a:solidFill>
              <a:latin typeface="+mn-lt"/>
            </a:rPr>
            <a:t> a Receber Neste Mês</a:t>
          </a:r>
          <a:endParaRPr lang="pt-BR" sz="12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</xdr:col>
      <xdr:colOff>311443</xdr:colOff>
      <xdr:row>17</xdr:row>
      <xdr:rowOff>18405</xdr:rowOff>
    </xdr:from>
    <xdr:to>
      <xdr:col>4</xdr:col>
      <xdr:colOff>225825</xdr:colOff>
      <xdr:row>19</xdr:row>
      <xdr:rowOff>110890</xdr:rowOff>
    </xdr:to>
    <xdr:sp macro="" textlink="">
      <xdr:nvSpPr>
        <xdr:cNvPr id="33" name="Elipse 32">
          <a:extLst>
            <a:ext uri="{FF2B5EF4-FFF2-40B4-BE49-F238E27FC236}">
              <a16:creationId xmlns:a16="http://schemas.microsoft.com/office/drawing/2014/main" id="{606AE0DE-F744-4330-8A3C-94880611D4EA}"/>
            </a:ext>
          </a:extLst>
        </xdr:cNvPr>
        <xdr:cNvSpPr/>
      </xdr:nvSpPr>
      <xdr:spPr>
        <a:xfrm>
          <a:off x="2140243" y="3256905"/>
          <a:ext cx="523982" cy="473485"/>
        </a:xfrm>
        <a:prstGeom prst="ellipse">
          <a:avLst/>
        </a:prstGeom>
        <a:solidFill>
          <a:schemeClr val="accent6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290043</xdr:colOff>
      <xdr:row>18</xdr:row>
      <xdr:rowOff>18403</xdr:rowOff>
    </xdr:from>
    <xdr:to>
      <xdr:col>3</xdr:col>
      <xdr:colOff>215126</xdr:colOff>
      <xdr:row>19</xdr:row>
      <xdr:rowOff>130153</xdr:rowOff>
    </xdr:to>
    <xdr:sp macro="" textlink="Parâmetros!BZ4">
      <xdr:nvSpPr>
        <xdr:cNvPr id="34" name="CaixaDeTexto 33">
          <a:extLst>
            <a:ext uri="{FF2B5EF4-FFF2-40B4-BE49-F238E27FC236}">
              <a16:creationId xmlns:a16="http://schemas.microsoft.com/office/drawing/2014/main" id="{20D4265B-96CA-47FA-AB8D-D44CBA8D2BA9}"/>
            </a:ext>
          </a:extLst>
        </xdr:cNvPr>
        <xdr:cNvSpPr txBox="1"/>
      </xdr:nvSpPr>
      <xdr:spPr>
        <a:xfrm>
          <a:off x="290043" y="3447403"/>
          <a:ext cx="1753883" cy="3022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3E92B2C8-52CB-4190-9C63-07E55D42D755}" type="TxLink">
            <a:rPr lang="en-US" sz="2000" b="1" i="0" u="none" strike="noStrike">
              <a:solidFill>
                <a:srgbClr val="70AD47"/>
              </a:solidFill>
              <a:latin typeface="Calibri"/>
              <a:ea typeface="+mn-ea"/>
              <a:cs typeface="Calibri"/>
            </a:rPr>
            <a:pPr marL="0" indent="0" algn="ctr"/>
            <a:t> R$2.130,30 </a:t>
          </a:fld>
          <a:endParaRPr lang="pt-BR" sz="2000" b="1" i="0" u="none" strike="noStrike">
            <a:solidFill>
              <a:schemeClr val="accent1"/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5</xdr:col>
      <xdr:colOff>414160</xdr:colOff>
      <xdr:row>21</xdr:row>
      <xdr:rowOff>118176</xdr:rowOff>
    </xdr:from>
    <xdr:to>
      <xdr:col>9</xdr:col>
      <xdr:colOff>520926</xdr:colOff>
      <xdr:row>25</xdr:row>
      <xdr:rowOff>7271</xdr:rowOff>
    </xdr:to>
    <xdr:sp macro="" textlink="">
      <xdr:nvSpPr>
        <xdr:cNvPr id="35" name="Retângulo: Cantos Arredondados 34">
          <a:extLst>
            <a:ext uri="{FF2B5EF4-FFF2-40B4-BE49-F238E27FC236}">
              <a16:creationId xmlns:a16="http://schemas.microsoft.com/office/drawing/2014/main" id="{EC146B62-F7C3-422B-BF8B-595BF6C02170}"/>
            </a:ext>
          </a:extLst>
        </xdr:cNvPr>
        <xdr:cNvSpPr/>
      </xdr:nvSpPr>
      <xdr:spPr>
        <a:xfrm>
          <a:off x="3462160" y="4118676"/>
          <a:ext cx="2545166" cy="62252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434397</xdr:colOff>
      <xdr:row>21</xdr:row>
      <xdr:rowOff>97843</xdr:rowOff>
    </xdr:from>
    <xdr:to>
      <xdr:col>8</xdr:col>
      <xdr:colOff>538438</xdr:colOff>
      <xdr:row>23</xdr:row>
      <xdr:rowOff>45748</xdr:rowOff>
    </xdr:to>
    <xdr:sp macro="" textlink="">
      <xdr:nvSpPr>
        <xdr:cNvPr id="36" name="CaixaDeTexto 35">
          <a:extLst>
            <a:ext uri="{FF2B5EF4-FFF2-40B4-BE49-F238E27FC236}">
              <a16:creationId xmlns:a16="http://schemas.microsoft.com/office/drawing/2014/main" id="{76B3209A-89AE-4128-B2E2-4DD975C4E308}"/>
            </a:ext>
          </a:extLst>
        </xdr:cNvPr>
        <xdr:cNvSpPr txBox="1"/>
      </xdr:nvSpPr>
      <xdr:spPr>
        <a:xfrm>
          <a:off x="3482397" y="4098343"/>
          <a:ext cx="1932841" cy="3003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200" b="1">
              <a:solidFill>
                <a:schemeClr val="tx1"/>
              </a:solidFill>
              <a:latin typeface="+mn-lt"/>
            </a:rPr>
            <a:t>Valor Médio Das Parcelas</a:t>
          </a:r>
          <a:endParaRPr lang="pt-BR" sz="10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8</xdr:col>
      <xdr:colOff>549460</xdr:colOff>
      <xdr:row>22</xdr:row>
      <xdr:rowOff>13643</xdr:rowOff>
    </xdr:from>
    <xdr:to>
      <xdr:col>9</xdr:col>
      <xdr:colOff>463842</xdr:colOff>
      <xdr:row>24</xdr:row>
      <xdr:rowOff>109963</xdr:rowOff>
    </xdr:to>
    <xdr:sp macro="" textlink="">
      <xdr:nvSpPr>
        <xdr:cNvPr id="37" name="Elipse 36">
          <a:extLst>
            <a:ext uri="{FF2B5EF4-FFF2-40B4-BE49-F238E27FC236}">
              <a16:creationId xmlns:a16="http://schemas.microsoft.com/office/drawing/2014/main" id="{A10C4320-2075-445E-AEE7-B192B4669080}"/>
            </a:ext>
          </a:extLst>
        </xdr:cNvPr>
        <xdr:cNvSpPr/>
      </xdr:nvSpPr>
      <xdr:spPr>
        <a:xfrm>
          <a:off x="5426260" y="4176068"/>
          <a:ext cx="523982" cy="477320"/>
        </a:xfrm>
        <a:prstGeom prst="ellipse">
          <a:avLst/>
        </a:prstGeom>
        <a:solidFill>
          <a:schemeClr val="accent6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528061</xdr:colOff>
      <xdr:row>23</xdr:row>
      <xdr:rowOff>36382</xdr:rowOff>
    </xdr:from>
    <xdr:to>
      <xdr:col>8</xdr:col>
      <xdr:colOff>453143</xdr:colOff>
      <xdr:row>24</xdr:row>
      <xdr:rowOff>150273</xdr:rowOff>
    </xdr:to>
    <xdr:sp macro="" textlink="CMediaPCL">
      <xdr:nvSpPr>
        <xdr:cNvPr id="38" name="CaixaDeTexto 37">
          <a:extLst>
            <a:ext uri="{FF2B5EF4-FFF2-40B4-BE49-F238E27FC236}">
              <a16:creationId xmlns:a16="http://schemas.microsoft.com/office/drawing/2014/main" id="{B66C3EBD-9FA4-46F6-9778-035448CB5107}"/>
            </a:ext>
          </a:extLst>
        </xdr:cNvPr>
        <xdr:cNvSpPr txBox="1"/>
      </xdr:nvSpPr>
      <xdr:spPr>
        <a:xfrm>
          <a:off x="3576061" y="4389307"/>
          <a:ext cx="1753882" cy="30439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37A7BF8D-5B9F-488D-B87A-7FFF312B0528}" type="TxLink">
            <a:rPr lang="en-US" sz="2000" b="1" i="0" u="none" strike="noStrike">
              <a:solidFill>
                <a:srgbClr val="70AD47"/>
              </a:solidFill>
              <a:latin typeface="Calibri"/>
              <a:ea typeface="+mn-ea"/>
              <a:cs typeface="Calibri"/>
            </a:rPr>
            <a:pPr marL="0" indent="0" algn="ctr"/>
            <a:t> R$426,06 </a:t>
          </a:fld>
          <a:endParaRPr lang="pt-BR" sz="2000" b="1" i="0" u="none" strike="noStrike">
            <a:solidFill>
              <a:schemeClr val="accent1"/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11</xdr:col>
      <xdr:colOff>45717</xdr:colOff>
      <xdr:row>16</xdr:row>
      <xdr:rowOff>127701</xdr:rowOff>
    </xdr:from>
    <xdr:to>
      <xdr:col>15</xdr:col>
      <xdr:colOff>152484</xdr:colOff>
      <xdr:row>19</xdr:row>
      <xdr:rowOff>178721</xdr:rowOff>
    </xdr:to>
    <xdr:sp macro="" textlink="">
      <xdr:nvSpPr>
        <xdr:cNvPr id="39" name="Retângulo: Cantos Arredondados 38">
          <a:extLst>
            <a:ext uri="{FF2B5EF4-FFF2-40B4-BE49-F238E27FC236}">
              <a16:creationId xmlns:a16="http://schemas.microsoft.com/office/drawing/2014/main" id="{D22C2061-DA18-4DB0-B1B1-13C344306053}"/>
            </a:ext>
          </a:extLst>
        </xdr:cNvPr>
        <xdr:cNvSpPr/>
      </xdr:nvSpPr>
      <xdr:spPr>
        <a:xfrm>
          <a:off x="6751317" y="3175701"/>
          <a:ext cx="2545167" cy="62252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11</xdr:col>
      <xdr:colOff>67027</xdr:colOff>
      <xdr:row>16</xdr:row>
      <xdr:rowOff>107368</xdr:rowOff>
    </xdr:from>
    <xdr:to>
      <xdr:col>14</xdr:col>
      <xdr:colOff>125021</xdr:colOff>
      <xdr:row>18</xdr:row>
      <xdr:rowOff>26698</xdr:rowOff>
    </xdr:to>
    <xdr:sp macro="" textlink="">
      <xdr:nvSpPr>
        <xdr:cNvPr id="40" name="CaixaDeTexto 39">
          <a:extLst>
            <a:ext uri="{FF2B5EF4-FFF2-40B4-BE49-F238E27FC236}">
              <a16:creationId xmlns:a16="http://schemas.microsoft.com/office/drawing/2014/main" id="{787C9C13-4ADA-4458-B6B6-76A973817441}"/>
            </a:ext>
          </a:extLst>
        </xdr:cNvPr>
        <xdr:cNvSpPr txBox="1"/>
      </xdr:nvSpPr>
      <xdr:spPr>
        <a:xfrm>
          <a:off x="6772627" y="3155368"/>
          <a:ext cx="1886794" cy="3003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200" b="1">
              <a:solidFill>
                <a:schemeClr val="tx1"/>
              </a:solidFill>
              <a:latin typeface="+mn-lt"/>
            </a:rPr>
            <a:t>Parcelamento Favorito</a:t>
          </a:r>
          <a:endParaRPr lang="pt-BR" sz="10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188154</xdr:colOff>
      <xdr:row>17</xdr:row>
      <xdr:rowOff>6961</xdr:rowOff>
    </xdr:from>
    <xdr:to>
      <xdr:col>15</xdr:col>
      <xdr:colOff>102536</xdr:colOff>
      <xdr:row>19</xdr:row>
      <xdr:rowOff>103281</xdr:rowOff>
    </xdr:to>
    <xdr:sp macro="" textlink="">
      <xdr:nvSpPr>
        <xdr:cNvPr id="41" name="Elipse 40">
          <a:extLst>
            <a:ext uri="{FF2B5EF4-FFF2-40B4-BE49-F238E27FC236}">
              <a16:creationId xmlns:a16="http://schemas.microsoft.com/office/drawing/2014/main" id="{1714788B-7947-4823-B2C8-84535A36A1D1}"/>
            </a:ext>
          </a:extLst>
        </xdr:cNvPr>
        <xdr:cNvSpPr/>
      </xdr:nvSpPr>
      <xdr:spPr>
        <a:xfrm>
          <a:off x="8722554" y="3245461"/>
          <a:ext cx="523982" cy="477320"/>
        </a:xfrm>
        <a:prstGeom prst="ellipse">
          <a:avLst/>
        </a:prstGeom>
        <a:solidFill>
          <a:schemeClr val="accent6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11</xdr:col>
      <xdr:colOff>166754</xdr:colOff>
      <xdr:row>18</xdr:row>
      <xdr:rowOff>17332</xdr:rowOff>
    </xdr:from>
    <xdr:to>
      <xdr:col>14</xdr:col>
      <xdr:colOff>91837</xdr:colOff>
      <xdr:row>19</xdr:row>
      <xdr:rowOff>131223</xdr:rowOff>
    </xdr:to>
    <xdr:sp macro="" textlink="Parâmetros!AI4">
      <xdr:nvSpPr>
        <xdr:cNvPr id="42" name="CaixaDeTexto 41">
          <a:extLst>
            <a:ext uri="{FF2B5EF4-FFF2-40B4-BE49-F238E27FC236}">
              <a16:creationId xmlns:a16="http://schemas.microsoft.com/office/drawing/2014/main" id="{F9F4F0FD-5759-4673-BB74-D202C5F0AB36}"/>
            </a:ext>
          </a:extLst>
        </xdr:cNvPr>
        <xdr:cNvSpPr txBox="1"/>
      </xdr:nvSpPr>
      <xdr:spPr>
        <a:xfrm>
          <a:off x="6872354" y="3446332"/>
          <a:ext cx="1753883" cy="30439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54B48DD9-B528-4A62-9AA3-2BE5FFA1BE91}" type="TxLink">
            <a:rPr lang="en-US" sz="2000" b="1" i="0" u="none" strike="noStrike">
              <a:solidFill>
                <a:srgbClr val="70AD47"/>
              </a:solidFill>
              <a:latin typeface="Calibri"/>
              <a:ea typeface="+mn-ea"/>
              <a:cs typeface="Calibri"/>
            </a:rPr>
            <a:pPr marL="0" indent="0" algn="ctr"/>
            <a:t>1 x</a:t>
          </a:fld>
          <a:endParaRPr lang="pt-BR" sz="2000" b="1" i="0" u="none" strike="noStrike">
            <a:solidFill>
              <a:schemeClr val="accent1"/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 editAs="oneCell">
    <xdr:from>
      <xdr:col>3</xdr:col>
      <xdr:colOff>390525</xdr:colOff>
      <xdr:row>17</xdr:row>
      <xdr:rowOff>84799</xdr:rowOff>
    </xdr:from>
    <xdr:to>
      <xdr:col>4</xdr:col>
      <xdr:colOff>140925</xdr:colOff>
      <xdr:row>19</xdr:row>
      <xdr:rowOff>63799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id="{8740C1ED-F582-4C6F-BFBC-D9E3406581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19325" y="3323299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14</xdr:col>
      <xdr:colOff>290512</xdr:colOff>
      <xdr:row>22</xdr:row>
      <xdr:rowOff>73815</xdr:rowOff>
    </xdr:from>
    <xdr:to>
      <xdr:col>15</xdr:col>
      <xdr:colOff>40912</xdr:colOff>
      <xdr:row>24</xdr:row>
      <xdr:rowOff>52815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id="{64E77BDB-B28B-4C38-8EA4-7237F5A710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34437" y="423624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14</xdr:col>
      <xdr:colOff>300037</xdr:colOff>
      <xdr:row>17</xdr:row>
      <xdr:rowOff>75274</xdr:rowOff>
    </xdr:from>
    <xdr:to>
      <xdr:col>15</xdr:col>
      <xdr:colOff>14675</xdr:colOff>
      <xdr:row>19</xdr:row>
      <xdr:rowOff>18274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id="{6C946368-3981-45A1-A4EE-FBAC0F23A7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34437" y="3313774"/>
          <a:ext cx="324238" cy="3240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22</xdr:row>
      <xdr:rowOff>60987</xdr:rowOff>
    </xdr:from>
    <xdr:to>
      <xdr:col>9</xdr:col>
      <xdr:colOff>396000</xdr:colOff>
      <xdr:row>24</xdr:row>
      <xdr:rowOff>75987</xdr:rowOff>
    </xdr:to>
    <xdr:pic>
      <xdr:nvPicPr>
        <xdr:cNvPr id="61" name="Imagem 60">
          <a:extLst>
            <a:ext uri="{FF2B5EF4-FFF2-40B4-BE49-F238E27FC236}">
              <a16:creationId xmlns:a16="http://schemas.microsoft.com/office/drawing/2014/main" id="{7DB5B313-1D55-4B89-B61B-BB2DCBBE34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86400" y="4223412"/>
          <a:ext cx="396000" cy="396000"/>
        </a:xfrm>
        <a:prstGeom prst="rect">
          <a:avLst/>
        </a:prstGeom>
      </xdr:spPr>
    </xdr:pic>
    <xdr:clientData/>
  </xdr:twoCellAnchor>
  <xdr:twoCellAnchor>
    <xdr:from>
      <xdr:col>0</xdr:col>
      <xdr:colOff>169069</xdr:colOff>
      <xdr:row>21</xdr:row>
      <xdr:rowOff>126698</xdr:rowOff>
    </xdr:from>
    <xdr:to>
      <xdr:col>4</xdr:col>
      <xdr:colOff>275836</xdr:colOff>
      <xdr:row>25</xdr:row>
      <xdr:rowOff>14680</xdr:rowOff>
    </xdr:to>
    <xdr:sp macro="" textlink="">
      <xdr:nvSpPr>
        <xdr:cNvPr id="70" name="Retângulo: Cantos Arredondados 69">
          <a:extLst>
            <a:ext uri="{FF2B5EF4-FFF2-40B4-BE49-F238E27FC236}">
              <a16:creationId xmlns:a16="http://schemas.microsoft.com/office/drawing/2014/main" id="{E0C6BA81-221D-4BA3-B404-AF101935BD7A}"/>
            </a:ext>
          </a:extLst>
        </xdr:cNvPr>
        <xdr:cNvSpPr/>
      </xdr:nvSpPr>
      <xdr:spPr>
        <a:xfrm>
          <a:off x="169069" y="4127198"/>
          <a:ext cx="2545167" cy="621407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190216</xdr:colOff>
      <xdr:row>21</xdr:row>
      <xdr:rowOff>96835</xdr:rowOff>
    </xdr:from>
    <xdr:to>
      <xdr:col>3</xdr:col>
      <xdr:colOff>199837</xdr:colOff>
      <xdr:row>23</xdr:row>
      <xdr:rowOff>41932</xdr:rowOff>
    </xdr:to>
    <xdr:sp macro="" textlink="">
      <xdr:nvSpPr>
        <xdr:cNvPr id="71" name="CaixaDeTexto 70">
          <a:extLst>
            <a:ext uri="{FF2B5EF4-FFF2-40B4-BE49-F238E27FC236}">
              <a16:creationId xmlns:a16="http://schemas.microsoft.com/office/drawing/2014/main" id="{CBF7C4CB-8E13-481E-89E8-B79DEAEDFF4C}"/>
            </a:ext>
          </a:extLst>
        </xdr:cNvPr>
        <xdr:cNvSpPr txBox="1"/>
      </xdr:nvSpPr>
      <xdr:spPr>
        <a:xfrm>
          <a:off x="190216" y="4097335"/>
          <a:ext cx="1838421" cy="2975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200" b="1">
              <a:solidFill>
                <a:schemeClr val="tx1"/>
              </a:solidFill>
              <a:latin typeface="+mn-lt"/>
            </a:rPr>
            <a:t>Total a Receber Estimado</a:t>
          </a:r>
          <a:endParaRPr lang="pt-BR" sz="10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</xdr:col>
      <xdr:colOff>307938</xdr:colOff>
      <xdr:row>22</xdr:row>
      <xdr:rowOff>41029</xdr:rowOff>
    </xdr:from>
    <xdr:to>
      <xdr:col>4</xdr:col>
      <xdr:colOff>222320</xdr:colOff>
      <xdr:row>24</xdr:row>
      <xdr:rowOff>137349</xdr:rowOff>
    </xdr:to>
    <xdr:sp macro="" textlink="">
      <xdr:nvSpPr>
        <xdr:cNvPr id="72" name="Elipse 71">
          <a:extLst>
            <a:ext uri="{FF2B5EF4-FFF2-40B4-BE49-F238E27FC236}">
              <a16:creationId xmlns:a16="http://schemas.microsoft.com/office/drawing/2014/main" id="{C291FADA-7ADB-4840-AD8C-A29022D1DB0A}"/>
            </a:ext>
          </a:extLst>
        </xdr:cNvPr>
        <xdr:cNvSpPr/>
      </xdr:nvSpPr>
      <xdr:spPr>
        <a:xfrm>
          <a:off x="2136738" y="4203454"/>
          <a:ext cx="523982" cy="477320"/>
        </a:xfrm>
        <a:prstGeom prst="ellipse">
          <a:avLst/>
        </a:prstGeom>
        <a:solidFill>
          <a:schemeClr val="accent6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286538</xdr:colOff>
      <xdr:row>23</xdr:row>
      <xdr:rowOff>41027</xdr:rowOff>
    </xdr:from>
    <xdr:to>
      <xdr:col>3</xdr:col>
      <xdr:colOff>211621</xdr:colOff>
      <xdr:row>24</xdr:row>
      <xdr:rowOff>156612</xdr:rowOff>
    </xdr:to>
    <xdr:sp macro="" textlink="Parâmetros!AX4">
      <xdr:nvSpPr>
        <xdr:cNvPr id="73" name="CaixaDeTexto 72">
          <a:extLst>
            <a:ext uri="{FF2B5EF4-FFF2-40B4-BE49-F238E27FC236}">
              <a16:creationId xmlns:a16="http://schemas.microsoft.com/office/drawing/2014/main" id="{7F4DF588-F069-4ABE-A248-39DF1E39288F}"/>
            </a:ext>
          </a:extLst>
        </xdr:cNvPr>
        <xdr:cNvSpPr txBox="1"/>
      </xdr:nvSpPr>
      <xdr:spPr>
        <a:xfrm>
          <a:off x="286538" y="4393952"/>
          <a:ext cx="1753883" cy="3060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B4D95C7D-4792-47FA-8E21-6360F8CCEC3B}" type="TxLink">
            <a:rPr lang="en-US" sz="2000" b="1" i="0" u="none" strike="noStrike">
              <a:solidFill>
                <a:srgbClr val="70AD47"/>
              </a:solidFill>
              <a:latin typeface="Calibri"/>
              <a:ea typeface="+mn-ea"/>
              <a:cs typeface="Calibri"/>
            </a:rPr>
            <a:pPr marL="0" indent="0" algn="ctr"/>
            <a:t> R$3.490,30 </a:t>
          </a:fld>
          <a:endParaRPr lang="pt-BR" sz="2000" b="1" i="0" u="none" strike="noStrike">
            <a:solidFill>
              <a:schemeClr val="accent1"/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16</xdr:col>
      <xdr:colOff>280646</xdr:colOff>
      <xdr:row>16</xdr:row>
      <xdr:rowOff>127433</xdr:rowOff>
    </xdr:from>
    <xdr:to>
      <xdr:col>20</xdr:col>
      <xdr:colOff>387413</xdr:colOff>
      <xdr:row>19</xdr:row>
      <xdr:rowOff>177341</xdr:rowOff>
    </xdr:to>
    <xdr:sp macro="" textlink="">
      <xdr:nvSpPr>
        <xdr:cNvPr id="80" name="Retângulo: Cantos Arredondados 79">
          <a:extLst>
            <a:ext uri="{FF2B5EF4-FFF2-40B4-BE49-F238E27FC236}">
              <a16:creationId xmlns:a16="http://schemas.microsoft.com/office/drawing/2014/main" id="{A2F36AA0-7657-473A-A01A-E18C38E236BB}"/>
            </a:ext>
          </a:extLst>
        </xdr:cNvPr>
        <xdr:cNvSpPr/>
      </xdr:nvSpPr>
      <xdr:spPr>
        <a:xfrm>
          <a:off x="10043771" y="3175433"/>
          <a:ext cx="2545167" cy="621408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16</xdr:col>
      <xdr:colOff>301794</xdr:colOff>
      <xdr:row>16</xdr:row>
      <xdr:rowOff>116151</xdr:rowOff>
    </xdr:from>
    <xdr:to>
      <xdr:col>19</xdr:col>
      <xdr:colOff>269688</xdr:colOff>
      <xdr:row>18</xdr:row>
      <xdr:rowOff>27726</xdr:rowOff>
    </xdr:to>
    <xdr:sp macro="" textlink="">
      <xdr:nvSpPr>
        <xdr:cNvPr id="81" name="CaixaDeTexto 80">
          <a:extLst>
            <a:ext uri="{FF2B5EF4-FFF2-40B4-BE49-F238E27FC236}">
              <a16:creationId xmlns:a16="http://schemas.microsoft.com/office/drawing/2014/main" id="{D296327F-C3B6-4A23-A959-272A54AFFB18}"/>
            </a:ext>
          </a:extLst>
        </xdr:cNvPr>
        <xdr:cNvSpPr txBox="1"/>
      </xdr:nvSpPr>
      <xdr:spPr>
        <a:xfrm>
          <a:off x="10064919" y="3164151"/>
          <a:ext cx="1796694" cy="292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200" b="1">
              <a:solidFill>
                <a:schemeClr val="tx1"/>
              </a:solidFill>
              <a:latin typeface="+mn-lt"/>
            </a:rPr>
            <a:t>Modalidade Favorita</a:t>
          </a:r>
          <a:endParaRPr lang="pt-BR" sz="10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19</xdr:col>
      <xdr:colOff>423484</xdr:colOff>
      <xdr:row>17</xdr:row>
      <xdr:rowOff>20472</xdr:rowOff>
    </xdr:from>
    <xdr:to>
      <xdr:col>20</xdr:col>
      <xdr:colOff>337866</xdr:colOff>
      <xdr:row>19</xdr:row>
      <xdr:rowOff>119600</xdr:rowOff>
    </xdr:to>
    <xdr:sp macro="" textlink="">
      <xdr:nvSpPr>
        <xdr:cNvPr id="82" name="Elipse 81">
          <a:extLst>
            <a:ext uri="{FF2B5EF4-FFF2-40B4-BE49-F238E27FC236}">
              <a16:creationId xmlns:a16="http://schemas.microsoft.com/office/drawing/2014/main" id="{895EEFB3-35FE-4D9A-8DA2-C5B1C9F467B3}"/>
            </a:ext>
          </a:extLst>
        </xdr:cNvPr>
        <xdr:cNvSpPr/>
      </xdr:nvSpPr>
      <xdr:spPr>
        <a:xfrm>
          <a:off x="12015409" y="3258972"/>
          <a:ext cx="523982" cy="480128"/>
        </a:xfrm>
        <a:prstGeom prst="ellipse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16</xdr:col>
      <xdr:colOff>402084</xdr:colOff>
      <xdr:row>18</xdr:row>
      <xdr:rowOff>9251</xdr:rowOff>
    </xdr:from>
    <xdr:to>
      <xdr:col>19</xdr:col>
      <xdr:colOff>327167</xdr:colOff>
      <xdr:row>19</xdr:row>
      <xdr:rowOff>129784</xdr:rowOff>
    </xdr:to>
    <xdr:sp macro="" textlink="Parâmetros!BC4">
      <xdr:nvSpPr>
        <xdr:cNvPr id="83" name="CaixaDeTexto 82">
          <a:extLst>
            <a:ext uri="{FF2B5EF4-FFF2-40B4-BE49-F238E27FC236}">
              <a16:creationId xmlns:a16="http://schemas.microsoft.com/office/drawing/2014/main" id="{892425FD-2E42-47C7-A4CE-B39154467437}"/>
            </a:ext>
          </a:extLst>
        </xdr:cNvPr>
        <xdr:cNvSpPr txBox="1"/>
      </xdr:nvSpPr>
      <xdr:spPr>
        <a:xfrm>
          <a:off x="10165209" y="3438251"/>
          <a:ext cx="1753883" cy="31103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4F18ABF8-4406-4E6D-BCF0-D0BECFD0FA40}" type="TxLink">
            <a:rPr lang="en-US" sz="2000" b="1" i="0" u="none" strike="noStrike">
              <a:solidFill>
                <a:srgbClr val="4472C4"/>
              </a:solidFill>
              <a:latin typeface="Calibri"/>
              <a:ea typeface="+mn-ea"/>
              <a:cs typeface="Calibri"/>
            </a:rPr>
            <a:pPr marL="0" indent="0" algn="ctr"/>
            <a:t>Anual</a:t>
          </a:fld>
          <a:endParaRPr lang="pt-BR" sz="2000" b="1" i="0" u="none" strike="noStrike">
            <a:solidFill>
              <a:schemeClr val="accent1"/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16</xdr:col>
      <xdr:colOff>279059</xdr:colOff>
      <xdr:row>21</xdr:row>
      <xdr:rowOff>127433</xdr:rowOff>
    </xdr:from>
    <xdr:to>
      <xdr:col>20</xdr:col>
      <xdr:colOff>385826</xdr:colOff>
      <xdr:row>25</xdr:row>
      <xdr:rowOff>15416</xdr:rowOff>
    </xdr:to>
    <xdr:sp macro="" textlink="">
      <xdr:nvSpPr>
        <xdr:cNvPr id="85" name="Retângulo: Cantos Arredondados 84">
          <a:extLst>
            <a:ext uri="{FF2B5EF4-FFF2-40B4-BE49-F238E27FC236}">
              <a16:creationId xmlns:a16="http://schemas.microsoft.com/office/drawing/2014/main" id="{F46158BE-805B-4501-A2C5-4C83AC5681B2}"/>
            </a:ext>
          </a:extLst>
        </xdr:cNvPr>
        <xdr:cNvSpPr/>
      </xdr:nvSpPr>
      <xdr:spPr>
        <a:xfrm>
          <a:off x="10042184" y="4127933"/>
          <a:ext cx="2545167" cy="621408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16</xdr:col>
      <xdr:colOff>300206</xdr:colOff>
      <xdr:row>21</xdr:row>
      <xdr:rowOff>116151</xdr:rowOff>
    </xdr:from>
    <xdr:to>
      <xdr:col>19</xdr:col>
      <xdr:colOff>440530</xdr:colOff>
      <xdr:row>23</xdr:row>
      <xdr:rowOff>56301</xdr:rowOff>
    </xdr:to>
    <xdr:sp macro="" textlink="">
      <xdr:nvSpPr>
        <xdr:cNvPr id="86" name="CaixaDeTexto 85">
          <a:extLst>
            <a:ext uri="{FF2B5EF4-FFF2-40B4-BE49-F238E27FC236}">
              <a16:creationId xmlns:a16="http://schemas.microsoft.com/office/drawing/2014/main" id="{EBA8650C-3C60-4E48-9FBC-B7AA81695390}"/>
            </a:ext>
          </a:extLst>
        </xdr:cNvPr>
        <xdr:cNvSpPr txBox="1"/>
      </xdr:nvSpPr>
      <xdr:spPr>
        <a:xfrm>
          <a:off x="10063331" y="4116651"/>
          <a:ext cx="1969124" cy="292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200" b="1">
              <a:solidFill>
                <a:schemeClr val="tx1"/>
              </a:solidFill>
              <a:latin typeface="+mn-lt"/>
            </a:rPr>
            <a:t>Serviços em Andamento</a:t>
          </a:r>
          <a:endParaRPr lang="pt-BR" sz="10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19</xdr:col>
      <xdr:colOff>402052</xdr:colOff>
      <xdr:row>22</xdr:row>
      <xdr:rowOff>49049</xdr:rowOff>
    </xdr:from>
    <xdr:to>
      <xdr:col>20</xdr:col>
      <xdr:colOff>316435</xdr:colOff>
      <xdr:row>24</xdr:row>
      <xdr:rowOff>148177</xdr:rowOff>
    </xdr:to>
    <xdr:sp macro="" textlink="">
      <xdr:nvSpPr>
        <xdr:cNvPr id="87" name="Elipse 86">
          <a:extLst>
            <a:ext uri="{FF2B5EF4-FFF2-40B4-BE49-F238E27FC236}">
              <a16:creationId xmlns:a16="http://schemas.microsoft.com/office/drawing/2014/main" id="{CE3AE60E-2646-4B33-823C-6DE4F4D081E4}"/>
            </a:ext>
          </a:extLst>
        </xdr:cNvPr>
        <xdr:cNvSpPr/>
      </xdr:nvSpPr>
      <xdr:spPr>
        <a:xfrm>
          <a:off x="11993977" y="4211474"/>
          <a:ext cx="523983" cy="480128"/>
        </a:xfrm>
        <a:prstGeom prst="ellipse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16</xdr:col>
      <xdr:colOff>380653</xdr:colOff>
      <xdr:row>23</xdr:row>
      <xdr:rowOff>59257</xdr:rowOff>
    </xdr:from>
    <xdr:to>
      <xdr:col>19</xdr:col>
      <xdr:colOff>305735</xdr:colOff>
      <xdr:row>24</xdr:row>
      <xdr:rowOff>179790</xdr:rowOff>
    </xdr:to>
    <xdr:sp macro="" textlink="Parâmetros!BI4">
      <xdr:nvSpPr>
        <xdr:cNvPr id="88" name="CaixaDeTexto 87">
          <a:extLst>
            <a:ext uri="{FF2B5EF4-FFF2-40B4-BE49-F238E27FC236}">
              <a16:creationId xmlns:a16="http://schemas.microsoft.com/office/drawing/2014/main" id="{A5AFDEE8-116B-4C01-90C2-B74A77860C79}"/>
            </a:ext>
          </a:extLst>
        </xdr:cNvPr>
        <xdr:cNvSpPr txBox="1"/>
      </xdr:nvSpPr>
      <xdr:spPr>
        <a:xfrm>
          <a:off x="10143778" y="4412182"/>
          <a:ext cx="1753882" cy="31103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F233F336-4BA2-4EDB-8187-15410321F4E1}" type="TxLink">
            <a:rPr lang="en-US" sz="2000" b="1" i="0" u="none" strike="noStrike">
              <a:solidFill>
                <a:srgbClr val="4472C4"/>
              </a:solidFill>
              <a:latin typeface="Calibri"/>
              <a:ea typeface="+mn-ea"/>
              <a:cs typeface="Calibri"/>
            </a:rPr>
            <a:pPr marL="0" indent="0" algn="ctr"/>
            <a:t>23</a:t>
          </a:fld>
          <a:endParaRPr lang="pt-BR" sz="2000" b="1" i="0" u="none" strike="noStrike">
            <a:solidFill>
              <a:schemeClr val="accent1"/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 editAs="oneCell">
    <xdr:from>
      <xdr:col>19</xdr:col>
      <xdr:colOff>497681</xdr:colOff>
      <xdr:row>17</xdr:row>
      <xdr:rowOff>49081</xdr:rowOff>
    </xdr:from>
    <xdr:to>
      <xdr:col>20</xdr:col>
      <xdr:colOff>284081</xdr:colOff>
      <xdr:row>19</xdr:row>
      <xdr:rowOff>64081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id="{5BE068BE-6A70-4AC7-840B-2ED639FC99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89606" y="3287581"/>
          <a:ext cx="396000" cy="396000"/>
        </a:xfrm>
        <a:prstGeom prst="rect">
          <a:avLst/>
        </a:prstGeom>
      </xdr:spPr>
    </xdr:pic>
    <xdr:clientData/>
  </xdr:twoCellAnchor>
  <xdr:twoCellAnchor editAs="oneCell">
    <xdr:from>
      <xdr:col>19</xdr:col>
      <xdr:colOff>500061</xdr:colOff>
      <xdr:row>22</xdr:row>
      <xdr:rowOff>113376</xdr:rowOff>
    </xdr:from>
    <xdr:to>
      <xdr:col>20</xdr:col>
      <xdr:colOff>252843</xdr:colOff>
      <xdr:row>24</xdr:row>
      <xdr:rowOff>92376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id="{4FB12CA9-8CFA-4C8E-9EF7-E79D0A56D9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91986" y="4275801"/>
          <a:ext cx="362382" cy="360000"/>
        </a:xfrm>
        <a:prstGeom prst="rect">
          <a:avLst/>
        </a:prstGeom>
      </xdr:spPr>
    </xdr:pic>
    <xdr:clientData/>
  </xdr:twoCellAnchor>
  <xdr:twoCellAnchor editAs="oneCell">
    <xdr:from>
      <xdr:col>3</xdr:col>
      <xdr:colOff>376238</xdr:colOff>
      <xdr:row>22</xdr:row>
      <xdr:rowOff>83347</xdr:rowOff>
    </xdr:from>
    <xdr:to>
      <xdr:col>4</xdr:col>
      <xdr:colOff>165019</xdr:colOff>
      <xdr:row>24</xdr:row>
      <xdr:rowOff>98347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id="{89FD51BF-EC70-48B6-A7E4-ED48B7BC0B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05038" y="4245772"/>
          <a:ext cx="398381" cy="396000"/>
        </a:xfrm>
        <a:prstGeom prst="rect">
          <a:avLst/>
        </a:prstGeom>
      </xdr:spPr>
    </xdr:pic>
    <xdr:clientData/>
  </xdr:twoCellAnchor>
  <xdr:twoCellAnchor>
    <xdr:from>
      <xdr:col>0</xdr:col>
      <xdr:colOff>109774</xdr:colOff>
      <xdr:row>6</xdr:row>
      <xdr:rowOff>123825</xdr:rowOff>
    </xdr:from>
    <xdr:to>
      <xdr:col>2</xdr:col>
      <xdr:colOff>43099</xdr:colOff>
      <xdr:row>9</xdr:row>
      <xdr:rowOff>77705</xdr:rowOff>
    </xdr:to>
    <xdr:sp macro="[0]!Alt_dash" textlink="">
      <xdr:nvSpPr>
        <xdr:cNvPr id="76" name="Retângulo: Cantos Arredondados 75">
          <a:extLst>
            <a:ext uri="{FF2B5EF4-FFF2-40B4-BE49-F238E27FC236}">
              <a16:creationId xmlns:a16="http://schemas.microsoft.com/office/drawing/2014/main" id="{0F1B1371-E8CC-4667-9478-CCC7B7AFCAE8}"/>
            </a:ext>
          </a:extLst>
        </xdr:cNvPr>
        <xdr:cNvSpPr/>
      </xdr:nvSpPr>
      <xdr:spPr>
        <a:xfrm>
          <a:off x="109774" y="1266825"/>
          <a:ext cx="1152525" cy="525380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50" b="1" i="0">
              <a:solidFill>
                <a:schemeClr val="bg1"/>
              </a:solidFill>
              <a:latin typeface="+mn-lt"/>
              <a:cs typeface="Arial" panose="020B0604020202020204" pitchFamily="34" charset="0"/>
            </a:rPr>
            <a:t>Atualizar Dashboard</a:t>
          </a:r>
        </a:p>
      </xdr:txBody>
    </xdr:sp>
    <xdr:clientData/>
  </xdr:twoCellAnchor>
  <xdr:twoCellAnchor>
    <xdr:from>
      <xdr:col>17</xdr:col>
      <xdr:colOff>319324</xdr:colOff>
      <xdr:row>6</xdr:row>
      <xdr:rowOff>123825</xdr:rowOff>
    </xdr:from>
    <xdr:to>
      <xdr:col>18</xdr:col>
      <xdr:colOff>462199</xdr:colOff>
      <xdr:row>9</xdr:row>
      <xdr:rowOff>66675</xdr:rowOff>
    </xdr:to>
    <xdr:sp macro="" textlink="">
      <xdr:nvSpPr>
        <xdr:cNvPr id="79" name="Seta: para a Direita 78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AAEC987-516E-4195-A51F-D4D979B86E6F}"/>
            </a:ext>
          </a:extLst>
        </xdr:cNvPr>
        <xdr:cNvSpPr/>
      </xdr:nvSpPr>
      <xdr:spPr>
        <a:xfrm rot="10800000">
          <a:off x="10682524" y="1266825"/>
          <a:ext cx="752475" cy="51435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89676</xdr:colOff>
      <xdr:row>25</xdr:row>
      <xdr:rowOff>168140</xdr:rowOff>
    </xdr:from>
    <xdr:to>
      <xdr:col>20</xdr:col>
      <xdr:colOff>488620</xdr:colOff>
      <xdr:row>31</xdr:row>
      <xdr:rowOff>0</xdr:rowOff>
    </xdr:to>
    <xdr:sp macro="" textlink="">
      <xdr:nvSpPr>
        <xdr:cNvPr id="103" name="Retângulo: Cantos Superiores Arredondados 102">
          <a:extLst>
            <a:ext uri="{FF2B5EF4-FFF2-40B4-BE49-F238E27FC236}">
              <a16:creationId xmlns:a16="http://schemas.microsoft.com/office/drawing/2014/main" id="{B6EA3390-C8C3-4762-8A1E-9D558A055B73}"/>
            </a:ext>
          </a:extLst>
        </xdr:cNvPr>
        <xdr:cNvSpPr/>
      </xdr:nvSpPr>
      <xdr:spPr>
        <a:xfrm rot="10800000">
          <a:off x="89676" y="4930640"/>
          <a:ext cx="12651558" cy="982282"/>
        </a:xfrm>
        <a:prstGeom prst="round2SameRect">
          <a:avLst/>
        </a:prstGeom>
        <a:solidFill>
          <a:schemeClr val="accent1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150019</xdr:colOff>
      <xdr:row>26</xdr:row>
      <xdr:rowOff>174323</xdr:rowOff>
    </xdr:from>
    <xdr:to>
      <xdr:col>4</xdr:col>
      <xdr:colOff>256786</xdr:colOff>
      <xdr:row>30</xdr:row>
      <xdr:rowOff>33730</xdr:rowOff>
    </xdr:to>
    <xdr:sp macro="" textlink="">
      <xdr:nvSpPr>
        <xdr:cNvPr id="104" name="Retângulo: Cantos Arredondados 103">
          <a:extLst>
            <a:ext uri="{FF2B5EF4-FFF2-40B4-BE49-F238E27FC236}">
              <a16:creationId xmlns:a16="http://schemas.microsoft.com/office/drawing/2014/main" id="{6D9AE6F9-8684-46ED-BE14-B1FDB0AFF5A8}"/>
            </a:ext>
          </a:extLst>
        </xdr:cNvPr>
        <xdr:cNvSpPr/>
      </xdr:nvSpPr>
      <xdr:spPr>
        <a:xfrm>
          <a:off x="150019" y="5098748"/>
          <a:ext cx="2545167" cy="621407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171167</xdr:colOff>
      <xdr:row>26</xdr:row>
      <xdr:rowOff>163510</xdr:rowOff>
    </xdr:from>
    <xdr:to>
      <xdr:col>3</xdr:col>
      <xdr:colOff>257175</xdr:colOff>
      <xdr:row>28</xdr:row>
      <xdr:rowOff>80032</xdr:rowOff>
    </xdr:to>
    <xdr:sp macro="" textlink="">
      <xdr:nvSpPr>
        <xdr:cNvPr id="105" name="CaixaDeTexto 104">
          <a:extLst>
            <a:ext uri="{FF2B5EF4-FFF2-40B4-BE49-F238E27FC236}">
              <a16:creationId xmlns:a16="http://schemas.microsoft.com/office/drawing/2014/main" id="{84091FC5-28DA-458C-9E0E-E36343D5FAF0}"/>
            </a:ext>
          </a:extLst>
        </xdr:cNvPr>
        <xdr:cNvSpPr txBox="1"/>
      </xdr:nvSpPr>
      <xdr:spPr>
        <a:xfrm>
          <a:off x="171167" y="5087935"/>
          <a:ext cx="1914808" cy="2975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200" b="1">
              <a:solidFill>
                <a:schemeClr val="tx1"/>
              </a:solidFill>
              <a:latin typeface="+mn-lt"/>
            </a:rPr>
            <a:t>Valor</a:t>
          </a:r>
          <a:r>
            <a:rPr lang="pt-BR" sz="1200" b="1" baseline="0">
              <a:solidFill>
                <a:schemeClr val="tx1"/>
              </a:solidFill>
              <a:latin typeface="+mn-lt"/>
            </a:rPr>
            <a:t> Total dos Serviços</a:t>
          </a:r>
          <a:endParaRPr lang="pt-BR" sz="10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</xdr:col>
      <xdr:colOff>326988</xdr:colOff>
      <xdr:row>27</xdr:row>
      <xdr:rowOff>79129</xdr:rowOff>
    </xdr:from>
    <xdr:to>
      <xdr:col>4</xdr:col>
      <xdr:colOff>241370</xdr:colOff>
      <xdr:row>29</xdr:row>
      <xdr:rowOff>175449</xdr:rowOff>
    </xdr:to>
    <xdr:sp macro="" textlink="">
      <xdr:nvSpPr>
        <xdr:cNvPr id="106" name="Elipse 105">
          <a:extLst>
            <a:ext uri="{FF2B5EF4-FFF2-40B4-BE49-F238E27FC236}">
              <a16:creationId xmlns:a16="http://schemas.microsoft.com/office/drawing/2014/main" id="{E93C9025-C3B0-4FAD-92B5-F80B6162AC58}"/>
            </a:ext>
          </a:extLst>
        </xdr:cNvPr>
        <xdr:cNvSpPr/>
      </xdr:nvSpPr>
      <xdr:spPr>
        <a:xfrm>
          <a:off x="2155788" y="5194054"/>
          <a:ext cx="523982" cy="477320"/>
        </a:xfrm>
        <a:prstGeom prst="ellipse">
          <a:avLst/>
        </a:prstGeom>
        <a:solidFill>
          <a:schemeClr val="accent6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305588</xdr:colOff>
      <xdr:row>28</xdr:row>
      <xdr:rowOff>79127</xdr:rowOff>
    </xdr:from>
    <xdr:to>
      <xdr:col>3</xdr:col>
      <xdr:colOff>230671</xdr:colOff>
      <xdr:row>30</xdr:row>
      <xdr:rowOff>4212</xdr:rowOff>
    </xdr:to>
    <xdr:sp macro="" textlink="Parâmetros!BS4">
      <xdr:nvSpPr>
        <xdr:cNvPr id="107" name="CaixaDeTexto 106">
          <a:extLst>
            <a:ext uri="{FF2B5EF4-FFF2-40B4-BE49-F238E27FC236}">
              <a16:creationId xmlns:a16="http://schemas.microsoft.com/office/drawing/2014/main" id="{B825E29C-F75D-4B07-9FC2-3FC4F0BCD6B2}"/>
            </a:ext>
          </a:extLst>
        </xdr:cNvPr>
        <xdr:cNvSpPr txBox="1"/>
      </xdr:nvSpPr>
      <xdr:spPr>
        <a:xfrm>
          <a:off x="305588" y="5384552"/>
          <a:ext cx="1753883" cy="3060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7375CBE4-20F5-46C3-B38A-6130D32476A0}" type="TxLink">
            <a:rPr lang="en-US" sz="2000" b="1" i="0" u="none" strike="noStrike">
              <a:solidFill>
                <a:srgbClr val="70AD47"/>
              </a:solidFill>
              <a:latin typeface="Calibri"/>
              <a:ea typeface="+mn-ea"/>
              <a:cs typeface="Calibri"/>
            </a:rPr>
            <a:pPr marL="0" indent="0" algn="ctr"/>
            <a:t> R$4.380,30 </a:t>
          </a:fld>
          <a:endParaRPr lang="pt-BR" sz="2000" b="1" i="0" u="none" strike="noStrike">
            <a:solidFill>
              <a:schemeClr val="accent1"/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 editAs="oneCell">
    <xdr:from>
      <xdr:col>3</xdr:col>
      <xdr:colOff>371475</xdr:colOff>
      <xdr:row>27</xdr:row>
      <xdr:rowOff>123825</xdr:rowOff>
    </xdr:from>
    <xdr:to>
      <xdr:col>4</xdr:col>
      <xdr:colOff>171450</xdr:colOff>
      <xdr:row>29</xdr:row>
      <xdr:rowOff>114300</xdr:rowOff>
    </xdr:to>
    <xdr:pic>
      <xdr:nvPicPr>
        <xdr:cNvPr id="16" name="Gráfico 15" descr="Carteira">
          <a:extLst>
            <a:ext uri="{FF2B5EF4-FFF2-40B4-BE49-F238E27FC236}">
              <a16:creationId xmlns:a16="http://schemas.microsoft.com/office/drawing/2014/main" id="{C64969A8-25BD-4B68-9342-A265255D28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200275" y="5238750"/>
          <a:ext cx="409575" cy="371475"/>
        </a:xfrm>
        <a:prstGeom prst="rect">
          <a:avLst/>
        </a:prstGeom>
      </xdr:spPr>
    </xdr:pic>
    <xdr:clientData/>
  </xdr:twoCellAnchor>
  <xdr:twoCellAnchor>
    <xdr:from>
      <xdr:col>5</xdr:col>
      <xdr:colOff>416719</xdr:colOff>
      <xdr:row>26</xdr:row>
      <xdr:rowOff>164798</xdr:rowOff>
    </xdr:from>
    <xdr:to>
      <xdr:col>9</xdr:col>
      <xdr:colOff>523486</xdr:colOff>
      <xdr:row>30</xdr:row>
      <xdr:rowOff>24205</xdr:rowOff>
    </xdr:to>
    <xdr:sp macro="" textlink="">
      <xdr:nvSpPr>
        <xdr:cNvPr id="84" name="Retângulo: Cantos Arredondados 83">
          <a:extLst>
            <a:ext uri="{FF2B5EF4-FFF2-40B4-BE49-F238E27FC236}">
              <a16:creationId xmlns:a16="http://schemas.microsoft.com/office/drawing/2014/main" id="{963AD165-58F4-495B-9D40-25F8D6909C74}"/>
            </a:ext>
          </a:extLst>
        </xdr:cNvPr>
        <xdr:cNvSpPr/>
      </xdr:nvSpPr>
      <xdr:spPr>
        <a:xfrm>
          <a:off x="3464719" y="5089223"/>
          <a:ext cx="2545167" cy="621407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428341</xdr:colOff>
      <xdr:row>26</xdr:row>
      <xdr:rowOff>144460</xdr:rowOff>
    </xdr:from>
    <xdr:to>
      <xdr:col>8</xdr:col>
      <xdr:colOff>523875</xdr:colOff>
      <xdr:row>28</xdr:row>
      <xdr:rowOff>60982</xdr:rowOff>
    </xdr:to>
    <xdr:sp macro="" textlink="">
      <xdr:nvSpPr>
        <xdr:cNvPr id="89" name="CaixaDeTexto 88">
          <a:extLst>
            <a:ext uri="{FF2B5EF4-FFF2-40B4-BE49-F238E27FC236}">
              <a16:creationId xmlns:a16="http://schemas.microsoft.com/office/drawing/2014/main" id="{0FFAAF0B-71B9-41AC-8C0D-826A08863DC0}"/>
            </a:ext>
          </a:extLst>
        </xdr:cNvPr>
        <xdr:cNvSpPr txBox="1"/>
      </xdr:nvSpPr>
      <xdr:spPr>
        <a:xfrm>
          <a:off x="3476341" y="5068885"/>
          <a:ext cx="1924334" cy="2975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200" b="1" noProof="0">
              <a:solidFill>
                <a:schemeClr val="tx1"/>
              </a:solidFill>
              <a:latin typeface="+mn-lt"/>
              <a:ea typeface="+mn-ea"/>
              <a:cs typeface="+mn-cs"/>
            </a:rPr>
            <a:t>Valor Total</a:t>
          </a:r>
          <a:r>
            <a:rPr lang="pt-BR" sz="1200" b="1" baseline="0" noProof="0">
              <a:solidFill>
                <a:schemeClr val="tx1"/>
              </a:solidFill>
              <a:latin typeface="+mn-lt"/>
              <a:ea typeface="+mn-ea"/>
              <a:cs typeface="+mn-cs"/>
            </a:rPr>
            <a:t> dos Serviços (F)</a:t>
          </a:r>
          <a:endParaRPr lang="pt-BR" sz="1200" b="1" noProof="0">
            <a:solidFill>
              <a:schemeClr val="tx1"/>
            </a:solidFill>
            <a:latin typeface="+mn-lt"/>
            <a:ea typeface="+mn-ea"/>
            <a:cs typeface="+mn-cs"/>
          </a:endParaRPr>
        </a:p>
        <a:p>
          <a:pPr marL="0" indent="0"/>
          <a:endParaRPr lang="pt-BR" sz="1200" b="1">
            <a:solidFill>
              <a:schemeClr val="tx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593688</xdr:colOff>
      <xdr:row>27</xdr:row>
      <xdr:rowOff>69604</xdr:rowOff>
    </xdr:from>
    <xdr:to>
      <xdr:col>9</xdr:col>
      <xdr:colOff>508070</xdr:colOff>
      <xdr:row>29</xdr:row>
      <xdr:rowOff>165924</xdr:rowOff>
    </xdr:to>
    <xdr:sp macro="" textlink="">
      <xdr:nvSpPr>
        <xdr:cNvPr id="96" name="Elipse 95">
          <a:extLst>
            <a:ext uri="{FF2B5EF4-FFF2-40B4-BE49-F238E27FC236}">
              <a16:creationId xmlns:a16="http://schemas.microsoft.com/office/drawing/2014/main" id="{7D070B02-8162-4FAA-B636-4711F1540DD5}"/>
            </a:ext>
          </a:extLst>
        </xdr:cNvPr>
        <xdr:cNvSpPr/>
      </xdr:nvSpPr>
      <xdr:spPr>
        <a:xfrm>
          <a:off x="5470488" y="5184529"/>
          <a:ext cx="523982" cy="477320"/>
        </a:xfrm>
        <a:prstGeom prst="ellipse">
          <a:avLst/>
        </a:prstGeom>
        <a:solidFill>
          <a:schemeClr val="accent6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524663</xdr:colOff>
      <xdr:row>28</xdr:row>
      <xdr:rowOff>69602</xdr:rowOff>
    </xdr:from>
    <xdr:to>
      <xdr:col>8</xdr:col>
      <xdr:colOff>449746</xdr:colOff>
      <xdr:row>29</xdr:row>
      <xdr:rowOff>185187</xdr:rowOff>
    </xdr:to>
    <xdr:sp macro="" textlink="Parâmetros!BQ3">
      <xdr:nvSpPr>
        <xdr:cNvPr id="98" name="CaixaDeTexto 97">
          <a:extLst>
            <a:ext uri="{FF2B5EF4-FFF2-40B4-BE49-F238E27FC236}">
              <a16:creationId xmlns:a16="http://schemas.microsoft.com/office/drawing/2014/main" id="{A7733493-812F-4749-9F86-9764E1EF2C55}"/>
            </a:ext>
          </a:extLst>
        </xdr:cNvPr>
        <xdr:cNvSpPr txBox="1"/>
      </xdr:nvSpPr>
      <xdr:spPr>
        <a:xfrm>
          <a:off x="3572663" y="5375027"/>
          <a:ext cx="1753883" cy="3060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7E02253C-BB55-4642-91D5-384A5D46BF93}" type="TxLink">
            <a:rPr lang="en-US" sz="2000" b="1" i="0" u="none" strike="noStrike">
              <a:solidFill>
                <a:srgbClr val="70AD47"/>
              </a:solidFill>
              <a:latin typeface="Calibri"/>
              <a:ea typeface="+mn-ea"/>
              <a:cs typeface="Calibri"/>
            </a:rPr>
            <a:pPr marL="0" indent="0" algn="ctr"/>
            <a:t> R$24.051,30 </a:t>
          </a:fld>
          <a:endParaRPr lang="en-US" sz="2000" b="1" i="0" u="none" strike="noStrike">
            <a:solidFill>
              <a:srgbClr val="70AD47"/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5</xdr:col>
      <xdr:colOff>394477</xdr:colOff>
      <xdr:row>16</xdr:row>
      <xdr:rowOff>140853</xdr:rowOff>
    </xdr:from>
    <xdr:to>
      <xdr:col>9</xdr:col>
      <xdr:colOff>501244</xdr:colOff>
      <xdr:row>20</xdr:row>
      <xdr:rowOff>260</xdr:rowOff>
    </xdr:to>
    <xdr:sp macro="" textlink="">
      <xdr:nvSpPr>
        <xdr:cNvPr id="110" name="Retângulo: Cantos Arredondados 109">
          <a:extLst>
            <a:ext uri="{FF2B5EF4-FFF2-40B4-BE49-F238E27FC236}">
              <a16:creationId xmlns:a16="http://schemas.microsoft.com/office/drawing/2014/main" id="{36F23930-2875-4120-8D24-4CB094FD6855}"/>
            </a:ext>
          </a:extLst>
        </xdr:cNvPr>
        <xdr:cNvSpPr/>
      </xdr:nvSpPr>
      <xdr:spPr>
        <a:xfrm>
          <a:off x="3442477" y="3188853"/>
          <a:ext cx="2545167" cy="621407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396573</xdr:colOff>
      <xdr:row>16</xdr:row>
      <xdr:rowOff>130040</xdr:rowOff>
    </xdr:from>
    <xdr:to>
      <xdr:col>9</xdr:col>
      <xdr:colOff>85724</xdr:colOff>
      <xdr:row>18</xdr:row>
      <xdr:rowOff>46562</xdr:rowOff>
    </xdr:to>
    <xdr:sp macro="" textlink="">
      <xdr:nvSpPr>
        <xdr:cNvPr id="111" name="CaixaDeTexto 110">
          <a:extLst>
            <a:ext uri="{FF2B5EF4-FFF2-40B4-BE49-F238E27FC236}">
              <a16:creationId xmlns:a16="http://schemas.microsoft.com/office/drawing/2014/main" id="{7DDBF54A-A84A-4F0C-8647-449EAF67B55B}"/>
            </a:ext>
          </a:extLst>
        </xdr:cNvPr>
        <xdr:cNvSpPr txBox="1"/>
      </xdr:nvSpPr>
      <xdr:spPr>
        <a:xfrm>
          <a:off x="3444573" y="3178040"/>
          <a:ext cx="2127551" cy="2975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pt-BR" sz="1200" b="1">
              <a:solidFill>
                <a:schemeClr val="tx1"/>
              </a:solidFill>
              <a:latin typeface="+mn-lt"/>
            </a:rPr>
            <a:t>Soma Parcelamento por</a:t>
          </a:r>
          <a:r>
            <a:rPr lang="pt-BR" sz="1200" b="1" baseline="0">
              <a:solidFill>
                <a:schemeClr val="tx1"/>
              </a:solidFill>
              <a:latin typeface="+mn-lt"/>
            </a:rPr>
            <a:t> Mod.</a:t>
          </a:r>
          <a:endParaRPr lang="pt-BR" sz="10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8</xdr:col>
      <xdr:colOff>571446</xdr:colOff>
      <xdr:row>17</xdr:row>
      <xdr:rowOff>45659</xdr:rowOff>
    </xdr:from>
    <xdr:to>
      <xdr:col>9</xdr:col>
      <xdr:colOff>485828</xdr:colOff>
      <xdr:row>19</xdr:row>
      <xdr:rowOff>141979</xdr:rowOff>
    </xdr:to>
    <xdr:sp macro="" textlink="">
      <xdr:nvSpPr>
        <xdr:cNvPr id="112" name="Elipse 111">
          <a:extLst>
            <a:ext uri="{FF2B5EF4-FFF2-40B4-BE49-F238E27FC236}">
              <a16:creationId xmlns:a16="http://schemas.microsoft.com/office/drawing/2014/main" id="{7BAC91C7-9492-4E7D-BA05-BE4008389097}"/>
            </a:ext>
          </a:extLst>
        </xdr:cNvPr>
        <xdr:cNvSpPr/>
      </xdr:nvSpPr>
      <xdr:spPr>
        <a:xfrm>
          <a:off x="5448246" y="3284159"/>
          <a:ext cx="523982" cy="477320"/>
        </a:xfrm>
        <a:prstGeom prst="ellipse">
          <a:avLst/>
        </a:prstGeom>
        <a:solidFill>
          <a:schemeClr val="accent6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550046</xdr:colOff>
      <xdr:row>18</xdr:row>
      <xdr:rowOff>45657</xdr:rowOff>
    </xdr:from>
    <xdr:to>
      <xdr:col>8</xdr:col>
      <xdr:colOff>475129</xdr:colOff>
      <xdr:row>19</xdr:row>
      <xdr:rowOff>161242</xdr:rowOff>
    </xdr:to>
    <xdr:sp macro="" textlink="Parâmetros!BQ1">
      <xdr:nvSpPr>
        <xdr:cNvPr id="113" name="CaixaDeTexto 112">
          <a:extLst>
            <a:ext uri="{FF2B5EF4-FFF2-40B4-BE49-F238E27FC236}">
              <a16:creationId xmlns:a16="http://schemas.microsoft.com/office/drawing/2014/main" id="{E9E85DBB-5510-41B8-ACFF-4527AE8F00A1}"/>
            </a:ext>
          </a:extLst>
        </xdr:cNvPr>
        <xdr:cNvSpPr txBox="1"/>
      </xdr:nvSpPr>
      <xdr:spPr>
        <a:xfrm>
          <a:off x="3598046" y="3474657"/>
          <a:ext cx="1753883" cy="3060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86FEADDD-6BAE-4486-B91C-5560F3FF98DA}" type="TxLink">
            <a:rPr lang="en-US" sz="2000" b="1" i="0" u="none" strike="noStrike">
              <a:solidFill>
                <a:srgbClr val="70AD47"/>
              </a:solidFill>
              <a:latin typeface="Calibri"/>
              <a:ea typeface="+mn-ea"/>
              <a:cs typeface="Calibri"/>
            </a:rPr>
            <a:pPr marL="0" indent="0" algn="ctr"/>
            <a:t> R$2.137,55 </a:t>
          </a:fld>
          <a:endParaRPr lang="en-US" sz="2000" b="1" i="0" u="none" strike="noStrike">
            <a:solidFill>
              <a:srgbClr val="70AD47"/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 editAs="oneCell">
    <xdr:from>
      <xdr:col>9</xdr:col>
      <xdr:colOff>47625</xdr:colOff>
      <xdr:row>17</xdr:row>
      <xdr:rowOff>85725</xdr:rowOff>
    </xdr:from>
    <xdr:to>
      <xdr:col>9</xdr:col>
      <xdr:colOff>438150</xdr:colOff>
      <xdr:row>19</xdr:row>
      <xdr:rowOff>85725</xdr:rowOff>
    </xdr:to>
    <xdr:pic>
      <xdr:nvPicPr>
        <xdr:cNvPr id="48" name="Gráfico 47" descr="Cofrinho">
          <a:extLst>
            <a:ext uri="{FF2B5EF4-FFF2-40B4-BE49-F238E27FC236}">
              <a16:creationId xmlns:a16="http://schemas.microsoft.com/office/drawing/2014/main" id="{80DB9CAE-FE41-4430-B93B-7E9AA7B3BA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534025" y="3324225"/>
          <a:ext cx="390525" cy="381000"/>
        </a:xfrm>
        <a:prstGeom prst="rect">
          <a:avLst/>
        </a:prstGeom>
      </xdr:spPr>
    </xdr:pic>
    <xdr:clientData/>
  </xdr:twoCellAnchor>
  <xdr:twoCellAnchor editAs="oneCell">
    <xdr:from>
      <xdr:col>9</xdr:col>
      <xdr:colOff>19050</xdr:colOff>
      <xdr:row>27</xdr:row>
      <xdr:rowOff>103026</xdr:rowOff>
    </xdr:from>
    <xdr:to>
      <xdr:col>9</xdr:col>
      <xdr:colOff>476250</xdr:colOff>
      <xdr:row>29</xdr:row>
      <xdr:rowOff>95250</xdr:rowOff>
    </xdr:to>
    <xdr:pic>
      <xdr:nvPicPr>
        <xdr:cNvPr id="51" name="Gráfico 50" descr="Alvo">
          <a:extLst>
            <a:ext uri="{FF2B5EF4-FFF2-40B4-BE49-F238E27FC236}">
              <a16:creationId xmlns:a16="http://schemas.microsoft.com/office/drawing/2014/main" id="{A1212861-8F96-47D5-8EF9-9E1D5201BC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5505450" y="5217951"/>
          <a:ext cx="457200" cy="373224"/>
        </a:xfrm>
        <a:prstGeom prst="rect">
          <a:avLst/>
        </a:prstGeom>
      </xdr:spPr>
    </xdr:pic>
    <xdr:clientData/>
  </xdr:twoCellAnchor>
  <xdr:twoCellAnchor>
    <xdr:from>
      <xdr:col>3</xdr:col>
      <xdr:colOff>305763</xdr:colOff>
      <xdr:row>11</xdr:row>
      <xdr:rowOff>106626</xdr:rowOff>
    </xdr:from>
    <xdr:to>
      <xdr:col>4</xdr:col>
      <xdr:colOff>220145</xdr:colOff>
      <xdr:row>14</xdr:row>
      <xdr:rowOff>10306</xdr:rowOff>
    </xdr:to>
    <xdr:sp macro="" textlink="">
      <xdr:nvSpPr>
        <xdr:cNvPr id="126" name="Elipse 125">
          <a:extLst>
            <a:ext uri="{FF2B5EF4-FFF2-40B4-BE49-F238E27FC236}">
              <a16:creationId xmlns:a16="http://schemas.microsoft.com/office/drawing/2014/main" id="{5C6DA514-3B08-4C8D-B0B5-366C09AA8787}"/>
            </a:ext>
          </a:extLst>
        </xdr:cNvPr>
        <xdr:cNvSpPr/>
      </xdr:nvSpPr>
      <xdr:spPr>
        <a:xfrm>
          <a:off x="2134563" y="2202126"/>
          <a:ext cx="523982" cy="475180"/>
        </a:xfrm>
        <a:prstGeom prst="ellipse">
          <a:avLst/>
        </a:prstGeom>
        <a:solidFill>
          <a:schemeClr val="accent6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3</xdr:col>
      <xdr:colOff>359639</xdr:colOff>
      <xdr:row>11</xdr:row>
      <xdr:rowOff>119449</xdr:rowOff>
    </xdr:from>
    <xdr:to>
      <xdr:col>4</xdr:col>
      <xdr:colOff>171725</xdr:colOff>
      <xdr:row>13</xdr:row>
      <xdr:rowOff>162140</xdr:rowOff>
    </xdr:to>
    <xdr:pic>
      <xdr:nvPicPr>
        <xdr:cNvPr id="127" name="Gráfico 126" descr="Dinheiro">
          <a:extLst>
            <a:ext uri="{FF2B5EF4-FFF2-40B4-BE49-F238E27FC236}">
              <a16:creationId xmlns:a16="http://schemas.microsoft.com/office/drawing/2014/main" id="{600362E4-41D2-4FCF-84D4-2C3FF0BD71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2188439" y="2214949"/>
          <a:ext cx="421686" cy="423691"/>
        </a:xfrm>
        <a:prstGeom prst="rect">
          <a:avLst/>
        </a:prstGeom>
      </xdr:spPr>
    </xdr:pic>
    <xdr:clientData/>
  </xdr:twoCellAnchor>
  <xdr:twoCellAnchor>
    <xdr:from>
      <xdr:col>16</xdr:col>
      <xdr:colOff>294140</xdr:colOff>
      <xdr:row>26</xdr:row>
      <xdr:rowOff>175058</xdr:rowOff>
    </xdr:from>
    <xdr:to>
      <xdr:col>20</xdr:col>
      <xdr:colOff>400907</xdr:colOff>
      <xdr:row>30</xdr:row>
      <xdr:rowOff>34466</xdr:rowOff>
    </xdr:to>
    <xdr:sp macro="" textlink="">
      <xdr:nvSpPr>
        <xdr:cNvPr id="90" name="Retângulo: Cantos Arredondados 89">
          <a:extLst>
            <a:ext uri="{FF2B5EF4-FFF2-40B4-BE49-F238E27FC236}">
              <a16:creationId xmlns:a16="http://schemas.microsoft.com/office/drawing/2014/main" id="{C0539AC1-BFEA-4593-8660-CDDBB56DFCB4}"/>
            </a:ext>
          </a:extLst>
        </xdr:cNvPr>
        <xdr:cNvSpPr/>
      </xdr:nvSpPr>
      <xdr:spPr>
        <a:xfrm>
          <a:off x="10057265" y="5099483"/>
          <a:ext cx="2545167" cy="621408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16</xdr:col>
      <xdr:colOff>315288</xdr:colOff>
      <xdr:row>26</xdr:row>
      <xdr:rowOff>163776</xdr:rowOff>
    </xdr:from>
    <xdr:to>
      <xdr:col>19</xdr:col>
      <xdr:colOff>283182</xdr:colOff>
      <xdr:row>28</xdr:row>
      <xdr:rowOff>75351</xdr:rowOff>
    </xdr:to>
    <xdr:sp macro="" textlink="">
      <xdr:nvSpPr>
        <xdr:cNvPr id="91" name="CaixaDeTexto 90">
          <a:extLst>
            <a:ext uri="{FF2B5EF4-FFF2-40B4-BE49-F238E27FC236}">
              <a16:creationId xmlns:a16="http://schemas.microsoft.com/office/drawing/2014/main" id="{B44421AF-1AFD-43BD-A150-E202828F4E89}"/>
            </a:ext>
          </a:extLst>
        </xdr:cNvPr>
        <xdr:cNvSpPr txBox="1"/>
      </xdr:nvSpPr>
      <xdr:spPr>
        <a:xfrm>
          <a:off x="10078413" y="5088201"/>
          <a:ext cx="1796694" cy="292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200" b="1">
              <a:solidFill>
                <a:schemeClr val="tx1"/>
              </a:solidFill>
              <a:latin typeface="+mn-lt"/>
            </a:rPr>
            <a:t>Serviços</a:t>
          </a:r>
          <a:r>
            <a:rPr lang="pt-BR" sz="1200" b="1" baseline="0">
              <a:solidFill>
                <a:schemeClr val="tx1"/>
              </a:solidFill>
              <a:latin typeface="+mn-lt"/>
            </a:rPr>
            <a:t> Até a Data de</a:t>
          </a:r>
          <a:endParaRPr lang="pt-BR" sz="10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19</xdr:col>
      <xdr:colOff>433009</xdr:colOff>
      <xdr:row>27</xdr:row>
      <xdr:rowOff>68099</xdr:rowOff>
    </xdr:from>
    <xdr:to>
      <xdr:col>20</xdr:col>
      <xdr:colOff>347391</xdr:colOff>
      <xdr:row>29</xdr:row>
      <xdr:rowOff>167227</xdr:rowOff>
    </xdr:to>
    <xdr:sp macro="" textlink="">
      <xdr:nvSpPr>
        <xdr:cNvPr id="92" name="Elipse 91">
          <a:extLst>
            <a:ext uri="{FF2B5EF4-FFF2-40B4-BE49-F238E27FC236}">
              <a16:creationId xmlns:a16="http://schemas.microsoft.com/office/drawing/2014/main" id="{088E75EB-3362-4D9D-8257-4FDB22374368}"/>
            </a:ext>
          </a:extLst>
        </xdr:cNvPr>
        <xdr:cNvSpPr/>
      </xdr:nvSpPr>
      <xdr:spPr>
        <a:xfrm>
          <a:off x="12024934" y="5183024"/>
          <a:ext cx="523982" cy="480128"/>
        </a:xfrm>
        <a:prstGeom prst="ellipse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16</xdr:col>
      <xdr:colOff>411609</xdr:colOff>
      <xdr:row>28</xdr:row>
      <xdr:rowOff>57061</xdr:rowOff>
    </xdr:from>
    <xdr:to>
      <xdr:col>19</xdr:col>
      <xdr:colOff>336692</xdr:colOff>
      <xdr:row>29</xdr:row>
      <xdr:rowOff>172646</xdr:rowOff>
    </xdr:to>
    <xdr:sp macro="" textlink="Parâmetros!BN2">
      <xdr:nvSpPr>
        <xdr:cNvPr id="93" name="CaixaDeTexto 92">
          <a:extLst>
            <a:ext uri="{FF2B5EF4-FFF2-40B4-BE49-F238E27FC236}">
              <a16:creationId xmlns:a16="http://schemas.microsoft.com/office/drawing/2014/main" id="{A5BCD738-0690-48B5-BC2F-E11E6B256E29}"/>
            </a:ext>
          </a:extLst>
        </xdr:cNvPr>
        <xdr:cNvSpPr txBox="1"/>
      </xdr:nvSpPr>
      <xdr:spPr>
        <a:xfrm>
          <a:off x="10174734" y="5362486"/>
          <a:ext cx="1753883" cy="3060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72F273AE-BBFF-48A4-966B-2908BB03E734}" type="TxLink">
            <a:rPr lang="en-US" sz="2000" b="1" i="0" u="none" strike="noStrike">
              <a:solidFill>
                <a:srgbClr val="4472C4"/>
              </a:solidFill>
              <a:latin typeface="Calibri"/>
              <a:ea typeface="+mn-ea"/>
              <a:cs typeface="Calibri"/>
            </a:rPr>
            <a:pPr marL="0" indent="0" algn="ctr"/>
            <a:t>01/02/23</a:t>
          </a:fld>
          <a:endParaRPr lang="pt-BR" sz="2000" b="1" i="0" u="none" strike="noStrike">
            <a:solidFill>
              <a:schemeClr val="accent1"/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 editAs="oneCell">
    <xdr:from>
      <xdr:col>19</xdr:col>
      <xdr:colOff>504825</xdr:colOff>
      <xdr:row>27</xdr:row>
      <xdr:rowOff>127663</xdr:rowOff>
    </xdr:from>
    <xdr:to>
      <xdr:col>20</xdr:col>
      <xdr:colOff>257175</xdr:colOff>
      <xdr:row>29</xdr:row>
      <xdr:rowOff>108613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id="{5F46984E-2BA3-45E1-A739-C9B19246C6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96750" y="5242588"/>
          <a:ext cx="361950" cy="361950"/>
        </a:xfrm>
        <a:prstGeom prst="rect">
          <a:avLst/>
        </a:prstGeom>
      </xdr:spPr>
    </xdr:pic>
    <xdr:clientData/>
  </xdr:twoCellAnchor>
  <xdr:twoCellAnchor>
    <xdr:from>
      <xdr:col>16</xdr:col>
      <xdr:colOff>287324</xdr:colOff>
      <xdr:row>11</xdr:row>
      <xdr:rowOff>34166</xdr:rowOff>
    </xdr:from>
    <xdr:to>
      <xdr:col>20</xdr:col>
      <xdr:colOff>394091</xdr:colOff>
      <xdr:row>14</xdr:row>
      <xdr:rowOff>84074</xdr:rowOff>
    </xdr:to>
    <xdr:sp macro="" textlink="">
      <xdr:nvSpPr>
        <xdr:cNvPr id="133" name="Retângulo: Cantos Arredondados 132">
          <a:extLst>
            <a:ext uri="{FF2B5EF4-FFF2-40B4-BE49-F238E27FC236}">
              <a16:creationId xmlns:a16="http://schemas.microsoft.com/office/drawing/2014/main" id="{CF6EBEAC-3631-4C2D-A239-25B01BBB7FD0}"/>
            </a:ext>
          </a:extLst>
        </xdr:cNvPr>
        <xdr:cNvSpPr/>
      </xdr:nvSpPr>
      <xdr:spPr>
        <a:xfrm>
          <a:off x="10050449" y="2129666"/>
          <a:ext cx="2545167" cy="621408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16</xdr:col>
      <xdr:colOff>308472</xdr:colOff>
      <xdr:row>11</xdr:row>
      <xdr:rowOff>22884</xdr:rowOff>
    </xdr:from>
    <xdr:to>
      <xdr:col>19</xdr:col>
      <xdr:colOff>276366</xdr:colOff>
      <xdr:row>12</xdr:row>
      <xdr:rowOff>124959</xdr:rowOff>
    </xdr:to>
    <xdr:sp macro="" textlink="">
      <xdr:nvSpPr>
        <xdr:cNvPr id="134" name="CaixaDeTexto 133">
          <a:extLst>
            <a:ext uri="{FF2B5EF4-FFF2-40B4-BE49-F238E27FC236}">
              <a16:creationId xmlns:a16="http://schemas.microsoft.com/office/drawing/2014/main" id="{A57AD5FD-330D-4396-AD44-B3ACCD6F4D25}"/>
            </a:ext>
          </a:extLst>
        </xdr:cNvPr>
        <xdr:cNvSpPr txBox="1"/>
      </xdr:nvSpPr>
      <xdr:spPr>
        <a:xfrm>
          <a:off x="10071597" y="2118384"/>
          <a:ext cx="1796694" cy="292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200" b="1">
              <a:solidFill>
                <a:schemeClr val="tx1"/>
              </a:solidFill>
              <a:latin typeface="+mn-lt"/>
            </a:rPr>
            <a:t>Clientes Cadastrados</a:t>
          </a:r>
          <a:r>
            <a:rPr lang="pt-BR" sz="1000">
              <a:solidFill>
                <a:schemeClr val="bg1"/>
              </a:solidFill>
              <a:latin typeface="+mn-lt"/>
            </a:rPr>
            <a:t>:</a:t>
          </a:r>
        </a:p>
      </xdr:txBody>
    </xdr:sp>
    <xdr:clientData/>
  </xdr:twoCellAnchor>
  <xdr:twoCellAnchor>
    <xdr:from>
      <xdr:col>19</xdr:col>
      <xdr:colOff>426193</xdr:colOff>
      <xdr:row>11</xdr:row>
      <xdr:rowOff>117707</xdr:rowOff>
    </xdr:from>
    <xdr:to>
      <xdr:col>20</xdr:col>
      <xdr:colOff>340575</xdr:colOff>
      <xdr:row>14</xdr:row>
      <xdr:rowOff>26335</xdr:rowOff>
    </xdr:to>
    <xdr:sp macro="" textlink="">
      <xdr:nvSpPr>
        <xdr:cNvPr id="135" name="Elipse 134">
          <a:extLst>
            <a:ext uri="{FF2B5EF4-FFF2-40B4-BE49-F238E27FC236}">
              <a16:creationId xmlns:a16="http://schemas.microsoft.com/office/drawing/2014/main" id="{AD0EDB55-22CF-4E20-A712-B0F0C72FCD33}"/>
            </a:ext>
          </a:extLst>
        </xdr:cNvPr>
        <xdr:cNvSpPr/>
      </xdr:nvSpPr>
      <xdr:spPr>
        <a:xfrm>
          <a:off x="12018118" y="2213207"/>
          <a:ext cx="523982" cy="480128"/>
        </a:xfrm>
        <a:prstGeom prst="ellipse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16</xdr:col>
      <xdr:colOff>404793</xdr:colOff>
      <xdr:row>12</xdr:row>
      <xdr:rowOff>78094</xdr:rowOff>
    </xdr:from>
    <xdr:to>
      <xdr:col>19</xdr:col>
      <xdr:colOff>329876</xdr:colOff>
      <xdr:row>14</xdr:row>
      <xdr:rowOff>3179</xdr:rowOff>
    </xdr:to>
    <xdr:sp macro="" textlink="Parâmetros!G2">
      <xdr:nvSpPr>
        <xdr:cNvPr id="136" name="CaixaDeTexto 135">
          <a:extLst>
            <a:ext uri="{FF2B5EF4-FFF2-40B4-BE49-F238E27FC236}">
              <a16:creationId xmlns:a16="http://schemas.microsoft.com/office/drawing/2014/main" id="{A38447C1-483E-4060-95A0-5EAA95B0EFAE}"/>
            </a:ext>
          </a:extLst>
        </xdr:cNvPr>
        <xdr:cNvSpPr txBox="1"/>
      </xdr:nvSpPr>
      <xdr:spPr>
        <a:xfrm>
          <a:off x="10167918" y="2364094"/>
          <a:ext cx="1753883" cy="3060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7615AB8B-8BA3-417B-9A6D-6BC55B423023}" type="TxLink">
            <a:rPr lang="en-US" sz="2000" b="1" i="0" u="none" strike="noStrike">
              <a:solidFill>
                <a:srgbClr val="4472C4"/>
              </a:solidFill>
              <a:latin typeface="Calibri"/>
              <a:ea typeface="+mn-ea"/>
              <a:cs typeface="Calibri"/>
            </a:rPr>
            <a:pPr marL="0" indent="0" algn="ctr"/>
            <a:t>23</a:t>
          </a:fld>
          <a:endParaRPr lang="pt-BR" sz="2000" b="1" i="0" u="none" strike="noStrike">
            <a:solidFill>
              <a:schemeClr val="accent1"/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 editAs="oneCell">
    <xdr:from>
      <xdr:col>19</xdr:col>
      <xdr:colOff>509915</xdr:colOff>
      <xdr:row>11</xdr:row>
      <xdr:rowOff>184414</xdr:rowOff>
    </xdr:from>
    <xdr:to>
      <xdr:col>20</xdr:col>
      <xdr:colOff>262265</xdr:colOff>
      <xdr:row>13</xdr:row>
      <xdr:rowOff>165364</xdr:rowOff>
    </xdr:to>
    <xdr:pic>
      <xdr:nvPicPr>
        <xdr:cNvPr id="137" name="Imagem 136">
          <a:extLst>
            <a:ext uri="{FF2B5EF4-FFF2-40B4-BE49-F238E27FC236}">
              <a16:creationId xmlns:a16="http://schemas.microsoft.com/office/drawing/2014/main" id="{5A7CCE32-1ED9-451E-9019-B90F17665D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01840" y="2279914"/>
          <a:ext cx="361950" cy="361950"/>
        </a:xfrm>
        <a:prstGeom prst="rect">
          <a:avLst/>
        </a:prstGeom>
      </xdr:spPr>
    </xdr:pic>
    <xdr:clientData/>
  </xdr:twoCellAnchor>
  <xdr:twoCellAnchor>
    <xdr:from>
      <xdr:col>11</xdr:col>
      <xdr:colOff>50033</xdr:colOff>
      <xdr:row>11</xdr:row>
      <xdr:rowOff>39383</xdr:rowOff>
    </xdr:from>
    <xdr:to>
      <xdr:col>15</xdr:col>
      <xdr:colOff>161224</xdr:colOff>
      <xdr:row>14</xdr:row>
      <xdr:rowOff>90403</xdr:rowOff>
    </xdr:to>
    <xdr:sp macro="" textlink="">
      <xdr:nvSpPr>
        <xdr:cNvPr id="138" name="Retângulo: Cantos Arredondados 137">
          <a:extLst>
            <a:ext uri="{FF2B5EF4-FFF2-40B4-BE49-F238E27FC236}">
              <a16:creationId xmlns:a16="http://schemas.microsoft.com/office/drawing/2014/main" id="{739B578A-3D62-4304-A1D4-8DFCA33E9048}"/>
            </a:ext>
          </a:extLst>
        </xdr:cNvPr>
        <xdr:cNvSpPr/>
      </xdr:nvSpPr>
      <xdr:spPr>
        <a:xfrm>
          <a:off x="6765158" y="2134883"/>
          <a:ext cx="2549591" cy="62252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11</xdr:col>
      <xdr:colOff>71181</xdr:colOff>
      <xdr:row>11</xdr:row>
      <xdr:rowOff>19050</xdr:rowOff>
    </xdr:from>
    <xdr:to>
      <xdr:col>14</xdr:col>
      <xdr:colOff>39074</xdr:colOff>
      <xdr:row>12</xdr:row>
      <xdr:rowOff>128880</xdr:rowOff>
    </xdr:to>
    <xdr:sp macro="" textlink="">
      <xdr:nvSpPr>
        <xdr:cNvPr id="139" name="CaixaDeTexto 138">
          <a:extLst>
            <a:ext uri="{FF2B5EF4-FFF2-40B4-BE49-F238E27FC236}">
              <a16:creationId xmlns:a16="http://schemas.microsoft.com/office/drawing/2014/main" id="{DF5B80A2-5B1E-4E03-9C37-CAC3109A0F51}"/>
            </a:ext>
          </a:extLst>
        </xdr:cNvPr>
        <xdr:cNvSpPr txBox="1"/>
      </xdr:nvSpPr>
      <xdr:spPr>
        <a:xfrm>
          <a:off x="6786306" y="2114550"/>
          <a:ext cx="1796693" cy="3003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200" b="1">
              <a:solidFill>
                <a:schemeClr val="tx1"/>
              </a:solidFill>
              <a:latin typeface="+mn-lt"/>
            </a:rPr>
            <a:t>Forma</a:t>
          </a:r>
          <a:r>
            <a:rPr lang="pt-BR" sz="1200" b="1" baseline="0">
              <a:solidFill>
                <a:schemeClr val="tx1"/>
              </a:solidFill>
              <a:latin typeface="+mn-lt"/>
            </a:rPr>
            <a:t> de Pgto Favorita</a:t>
          </a:r>
          <a:r>
            <a:rPr lang="pt-BR" sz="1000">
              <a:solidFill>
                <a:schemeClr val="bg1"/>
              </a:solidFill>
              <a:latin typeface="+mn-lt"/>
            </a:rPr>
            <a:t>:</a:t>
          </a:r>
        </a:p>
      </xdr:txBody>
    </xdr:sp>
    <xdr:clientData/>
  </xdr:twoCellAnchor>
  <xdr:twoCellAnchor>
    <xdr:from>
      <xdr:col>14</xdr:col>
      <xdr:colOff>188901</xdr:colOff>
      <xdr:row>11</xdr:row>
      <xdr:rowOff>115825</xdr:rowOff>
    </xdr:from>
    <xdr:to>
      <xdr:col>15</xdr:col>
      <xdr:colOff>103283</xdr:colOff>
      <xdr:row>14</xdr:row>
      <xdr:rowOff>21645</xdr:rowOff>
    </xdr:to>
    <xdr:sp macro="" textlink="">
      <xdr:nvSpPr>
        <xdr:cNvPr id="140" name="Elipse 139">
          <a:extLst>
            <a:ext uri="{FF2B5EF4-FFF2-40B4-BE49-F238E27FC236}">
              <a16:creationId xmlns:a16="http://schemas.microsoft.com/office/drawing/2014/main" id="{3FCD4ED9-D912-4E88-A035-05C6EEEB63D8}"/>
            </a:ext>
          </a:extLst>
        </xdr:cNvPr>
        <xdr:cNvSpPr/>
      </xdr:nvSpPr>
      <xdr:spPr>
        <a:xfrm>
          <a:off x="8732826" y="2211325"/>
          <a:ext cx="523982" cy="477320"/>
        </a:xfrm>
        <a:prstGeom prst="ellipse">
          <a:avLst/>
        </a:prstGeom>
        <a:solidFill>
          <a:schemeClr val="accent6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11</xdr:col>
      <xdr:colOff>167502</xdr:colOff>
      <xdr:row>12</xdr:row>
      <xdr:rowOff>119514</xdr:rowOff>
    </xdr:from>
    <xdr:to>
      <xdr:col>14</xdr:col>
      <xdr:colOff>92584</xdr:colOff>
      <xdr:row>14</xdr:row>
      <xdr:rowOff>42905</xdr:rowOff>
    </xdr:to>
    <xdr:sp macro="" textlink="Parâmetros!AP4">
      <xdr:nvSpPr>
        <xdr:cNvPr id="141" name="CaixaDeTexto 140">
          <a:extLst>
            <a:ext uri="{FF2B5EF4-FFF2-40B4-BE49-F238E27FC236}">
              <a16:creationId xmlns:a16="http://schemas.microsoft.com/office/drawing/2014/main" id="{3A83DBF5-32A5-4308-ADB3-E8E083A94578}"/>
            </a:ext>
          </a:extLst>
        </xdr:cNvPr>
        <xdr:cNvSpPr txBox="1"/>
      </xdr:nvSpPr>
      <xdr:spPr>
        <a:xfrm>
          <a:off x="6882627" y="2405514"/>
          <a:ext cx="1753882" cy="30439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FE82D55F-36D0-44AF-8808-C134ED425BC8}" type="TxLink">
            <a:rPr lang="en-US" sz="2000" b="1" i="0" u="none" strike="noStrike">
              <a:solidFill>
                <a:srgbClr val="70AD47"/>
              </a:solidFill>
              <a:latin typeface="Calibri"/>
              <a:ea typeface="+mn-ea"/>
              <a:cs typeface="Calibri"/>
            </a:rPr>
            <a:pPr marL="0" indent="0" algn="ctr"/>
            <a:t>Cartão</a:t>
          </a:fld>
          <a:endParaRPr lang="pt-BR" sz="2000" b="1" i="0" u="none" strike="noStrike">
            <a:solidFill>
              <a:schemeClr val="accent1"/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 editAs="oneCell">
    <xdr:from>
      <xdr:col>14</xdr:col>
      <xdr:colOff>262791</xdr:colOff>
      <xdr:row>11</xdr:row>
      <xdr:rowOff>170312</xdr:rowOff>
    </xdr:from>
    <xdr:to>
      <xdr:col>15</xdr:col>
      <xdr:colOff>15572</xdr:colOff>
      <xdr:row>13</xdr:row>
      <xdr:rowOff>149312</xdr:rowOff>
    </xdr:to>
    <xdr:pic>
      <xdr:nvPicPr>
        <xdr:cNvPr id="142" name="Imagem 141">
          <a:extLst>
            <a:ext uri="{FF2B5EF4-FFF2-40B4-BE49-F238E27FC236}">
              <a16:creationId xmlns:a16="http://schemas.microsoft.com/office/drawing/2014/main" id="{2736DE52-D062-4597-A37C-750EA360F0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06716" y="2265812"/>
          <a:ext cx="362381" cy="360000"/>
        </a:xfrm>
        <a:prstGeom prst="rect">
          <a:avLst/>
        </a:prstGeom>
      </xdr:spPr>
    </xdr:pic>
    <xdr:clientData/>
  </xdr:twoCellAnchor>
  <xdr:twoCellAnchor>
    <xdr:from>
      <xdr:col>11</xdr:col>
      <xdr:colOff>76455</xdr:colOff>
      <xdr:row>26</xdr:row>
      <xdr:rowOff>167645</xdr:rowOff>
    </xdr:from>
    <xdr:to>
      <xdr:col>15</xdr:col>
      <xdr:colOff>183222</xdr:colOff>
      <xdr:row>30</xdr:row>
      <xdr:rowOff>27053</xdr:rowOff>
    </xdr:to>
    <xdr:sp macro="" textlink="">
      <xdr:nvSpPr>
        <xdr:cNvPr id="23" name="Retângulo: Cantos Arredondados 22">
          <a:extLst>
            <a:ext uri="{FF2B5EF4-FFF2-40B4-BE49-F238E27FC236}">
              <a16:creationId xmlns:a16="http://schemas.microsoft.com/office/drawing/2014/main" id="{D9EE793D-C5EF-4E3D-8B83-4C070A002117}"/>
            </a:ext>
          </a:extLst>
        </xdr:cNvPr>
        <xdr:cNvSpPr/>
      </xdr:nvSpPr>
      <xdr:spPr>
        <a:xfrm>
          <a:off x="6791580" y="5092070"/>
          <a:ext cx="2545167" cy="621408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11</xdr:col>
      <xdr:colOff>74848</xdr:colOff>
      <xdr:row>26</xdr:row>
      <xdr:rowOff>136005</xdr:rowOff>
    </xdr:from>
    <xdr:to>
      <xdr:col>14</xdr:col>
      <xdr:colOff>42742</xdr:colOff>
      <xdr:row>28</xdr:row>
      <xdr:rowOff>50387</xdr:rowOff>
    </xdr:to>
    <xdr:sp macro="" textlink="">
      <xdr:nvSpPr>
        <xdr:cNvPr id="24" name="CaixaDeTexto 23">
          <a:extLst>
            <a:ext uri="{FF2B5EF4-FFF2-40B4-BE49-F238E27FC236}">
              <a16:creationId xmlns:a16="http://schemas.microsoft.com/office/drawing/2014/main" id="{953D9E02-1C33-444E-9009-4FF1FDEFBF1B}"/>
            </a:ext>
          </a:extLst>
        </xdr:cNvPr>
        <xdr:cNvSpPr txBox="1"/>
      </xdr:nvSpPr>
      <xdr:spPr>
        <a:xfrm>
          <a:off x="6789973" y="5060430"/>
          <a:ext cx="1796694" cy="29538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200" b="1">
              <a:solidFill>
                <a:schemeClr val="tx1"/>
              </a:solidFill>
              <a:latin typeface="+mn-lt"/>
            </a:rPr>
            <a:t>Pagamentos Atrasados</a:t>
          </a:r>
          <a:endParaRPr lang="pt-BR" sz="10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192569</xdr:colOff>
      <xdr:row>27</xdr:row>
      <xdr:rowOff>41822</xdr:rowOff>
    </xdr:from>
    <xdr:to>
      <xdr:col>15</xdr:col>
      <xdr:colOff>106951</xdr:colOff>
      <xdr:row>29</xdr:row>
      <xdr:rowOff>136002</xdr:rowOff>
    </xdr:to>
    <xdr:sp macro="" textlink="">
      <xdr:nvSpPr>
        <xdr:cNvPr id="25" name="Elipse 24">
          <a:extLst>
            <a:ext uri="{FF2B5EF4-FFF2-40B4-BE49-F238E27FC236}">
              <a16:creationId xmlns:a16="http://schemas.microsoft.com/office/drawing/2014/main" id="{E6D515D9-F93B-486D-B923-EB034620EE17}"/>
            </a:ext>
          </a:extLst>
        </xdr:cNvPr>
        <xdr:cNvSpPr/>
      </xdr:nvSpPr>
      <xdr:spPr>
        <a:xfrm>
          <a:off x="8736494" y="5156747"/>
          <a:ext cx="523982" cy="475180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11</xdr:col>
      <xdr:colOff>171169</xdr:colOff>
      <xdr:row>28</xdr:row>
      <xdr:rowOff>48457</xdr:rowOff>
    </xdr:from>
    <xdr:to>
      <xdr:col>14</xdr:col>
      <xdr:colOff>96252</xdr:colOff>
      <xdr:row>29</xdr:row>
      <xdr:rowOff>164042</xdr:rowOff>
    </xdr:to>
    <xdr:sp macro="" textlink="Parâmetros!M3">
      <xdr:nvSpPr>
        <xdr:cNvPr id="26" name="CaixaDeTexto 25">
          <a:extLst>
            <a:ext uri="{FF2B5EF4-FFF2-40B4-BE49-F238E27FC236}">
              <a16:creationId xmlns:a16="http://schemas.microsoft.com/office/drawing/2014/main" id="{4713377C-E8F4-4A27-B79C-3A1590742E77}"/>
            </a:ext>
          </a:extLst>
        </xdr:cNvPr>
        <xdr:cNvSpPr txBox="1"/>
      </xdr:nvSpPr>
      <xdr:spPr>
        <a:xfrm>
          <a:off x="6886294" y="5353882"/>
          <a:ext cx="1753883" cy="3060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243AD64-3E18-4B61-B782-46EB07AC280E}" type="TxLink">
            <a:rPr lang="en-US" sz="2000" b="1" i="0" u="none" strike="noStrike">
              <a:solidFill>
                <a:srgbClr val="FF0000"/>
              </a:solidFill>
              <a:latin typeface="Calibri"/>
              <a:cs typeface="Calibri"/>
            </a:rPr>
            <a:pPr algn="ctr"/>
            <a:t>0</a:t>
          </a:fld>
          <a:endParaRPr lang="pt-BR" sz="2000" b="1">
            <a:solidFill>
              <a:schemeClr val="accent1"/>
            </a:solidFill>
          </a:endParaRPr>
        </a:p>
      </xdr:txBody>
    </xdr:sp>
    <xdr:clientData/>
  </xdr:twoCellAnchor>
  <xdr:twoCellAnchor editAs="oneCell">
    <xdr:from>
      <xdr:col>14</xdr:col>
      <xdr:colOff>250031</xdr:colOff>
      <xdr:row>27</xdr:row>
      <xdr:rowOff>71434</xdr:rowOff>
    </xdr:from>
    <xdr:to>
      <xdr:col>15</xdr:col>
      <xdr:colOff>36431</xdr:colOff>
      <xdr:row>29</xdr:row>
      <xdr:rowOff>86434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id="{2F35D200-CC18-4F3B-981F-47751F89F8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93956" y="5186359"/>
          <a:ext cx="396000" cy="396000"/>
        </a:xfrm>
        <a:prstGeom prst="rect">
          <a:avLst/>
        </a:prstGeom>
      </xdr:spPr>
    </xdr:pic>
    <xdr:clientData/>
  </xdr:twoCellAnchor>
  <xdr:twoCellAnchor>
    <xdr:from>
      <xdr:col>5</xdr:col>
      <xdr:colOff>383408</xdr:colOff>
      <xdr:row>11</xdr:row>
      <xdr:rowOff>39388</xdr:rowOff>
    </xdr:from>
    <xdr:to>
      <xdr:col>9</xdr:col>
      <xdr:colOff>490175</xdr:colOff>
      <xdr:row>14</xdr:row>
      <xdr:rowOff>89295</xdr:rowOff>
    </xdr:to>
    <xdr:sp macro="" textlink="">
      <xdr:nvSpPr>
        <xdr:cNvPr id="143" name="Retângulo: Cantos Arredondados 142">
          <a:extLst>
            <a:ext uri="{FF2B5EF4-FFF2-40B4-BE49-F238E27FC236}">
              <a16:creationId xmlns:a16="http://schemas.microsoft.com/office/drawing/2014/main" id="{A5B8A032-4C8E-4D33-90F7-F77D58A1C0ED}"/>
            </a:ext>
          </a:extLst>
        </xdr:cNvPr>
        <xdr:cNvSpPr/>
      </xdr:nvSpPr>
      <xdr:spPr>
        <a:xfrm>
          <a:off x="3431408" y="2134888"/>
          <a:ext cx="2545167" cy="621407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385505</xdr:colOff>
      <xdr:row>11</xdr:row>
      <xdr:rowOff>28575</xdr:rowOff>
    </xdr:from>
    <xdr:to>
      <xdr:col>8</xdr:col>
      <xdr:colOff>395126</xdr:colOff>
      <xdr:row>12</xdr:row>
      <xdr:rowOff>135597</xdr:rowOff>
    </xdr:to>
    <xdr:sp macro="" textlink="">
      <xdr:nvSpPr>
        <xdr:cNvPr id="144" name="CaixaDeTexto 143">
          <a:extLst>
            <a:ext uri="{FF2B5EF4-FFF2-40B4-BE49-F238E27FC236}">
              <a16:creationId xmlns:a16="http://schemas.microsoft.com/office/drawing/2014/main" id="{507BC293-B843-437D-A262-471107DFED98}"/>
            </a:ext>
          </a:extLst>
        </xdr:cNvPr>
        <xdr:cNvSpPr txBox="1"/>
      </xdr:nvSpPr>
      <xdr:spPr>
        <a:xfrm>
          <a:off x="3433505" y="2124075"/>
          <a:ext cx="1838421" cy="2975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pt-BR" sz="1200" b="1">
              <a:solidFill>
                <a:schemeClr val="tx1"/>
              </a:solidFill>
              <a:latin typeface="+mn-lt"/>
            </a:rPr>
            <a:t>Valores Pagos</a:t>
          </a:r>
          <a:endParaRPr lang="pt-BR" sz="10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8</xdr:col>
      <xdr:colOff>560377</xdr:colOff>
      <xdr:row>11</xdr:row>
      <xdr:rowOff>134694</xdr:rowOff>
    </xdr:from>
    <xdr:to>
      <xdr:col>9</xdr:col>
      <xdr:colOff>474759</xdr:colOff>
      <xdr:row>14</xdr:row>
      <xdr:rowOff>40514</xdr:rowOff>
    </xdr:to>
    <xdr:sp macro="" textlink="">
      <xdr:nvSpPr>
        <xdr:cNvPr id="145" name="Elipse 144">
          <a:extLst>
            <a:ext uri="{FF2B5EF4-FFF2-40B4-BE49-F238E27FC236}">
              <a16:creationId xmlns:a16="http://schemas.microsoft.com/office/drawing/2014/main" id="{97AD1B45-6268-409A-9373-C62BA70CB172}"/>
            </a:ext>
          </a:extLst>
        </xdr:cNvPr>
        <xdr:cNvSpPr/>
      </xdr:nvSpPr>
      <xdr:spPr>
        <a:xfrm>
          <a:off x="5437177" y="2230194"/>
          <a:ext cx="523982" cy="477320"/>
        </a:xfrm>
        <a:prstGeom prst="ellipse">
          <a:avLst/>
        </a:prstGeom>
        <a:solidFill>
          <a:schemeClr val="accent6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538977</xdr:colOff>
      <xdr:row>12</xdr:row>
      <xdr:rowOff>134692</xdr:rowOff>
    </xdr:from>
    <xdr:to>
      <xdr:col>8</xdr:col>
      <xdr:colOff>464060</xdr:colOff>
      <xdr:row>14</xdr:row>
      <xdr:rowOff>59777</xdr:rowOff>
    </xdr:to>
    <xdr:sp macro="" textlink="Parâmetros!CG4">
      <xdr:nvSpPr>
        <xdr:cNvPr id="146" name="CaixaDeTexto 145">
          <a:extLst>
            <a:ext uri="{FF2B5EF4-FFF2-40B4-BE49-F238E27FC236}">
              <a16:creationId xmlns:a16="http://schemas.microsoft.com/office/drawing/2014/main" id="{E8D0176A-1067-44B6-866A-2EA39EE5AB67}"/>
            </a:ext>
          </a:extLst>
        </xdr:cNvPr>
        <xdr:cNvSpPr txBox="1"/>
      </xdr:nvSpPr>
      <xdr:spPr>
        <a:xfrm>
          <a:off x="3586977" y="2420692"/>
          <a:ext cx="1753883" cy="3060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6FAE8104-5333-43D2-83F6-3E42A564EDCE}" type="TxLink">
            <a:rPr lang="en-US" sz="2000" b="1" i="0" u="none" strike="noStrike">
              <a:solidFill>
                <a:srgbClr val="70AD47"/>
              </a:solidFill>
              <a:latin typeface="Calibri"/>
              <a:ea typeface="+mn-ea"/>
              <a:cs typeface="Calibri"/>
            </a:rPr>
            <a:pPr marL="0" indent="0" algn="ctr"/>
            <a:t> R$890,00 </a:t>
          </a:fld>
          <a:endParaRPr lang="en-US" sz="2000" b="1" i="0" u="none" strike="noStrike">
            <a:solidFill>
              <a:srgbClr val="70AD47"/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 editAs="oneCell">
    <xdr:from>
      <xdr:col>9</xdr:col>
      <xdr:colOff>27032</xdr:colOff>
      <xdr:row>12</xdr:row>
      <xdr:rowOff>21301</xdr:rowOff>
    </xdr:from>
    <xdr:to>
      <xdr:col>9</xdr:col>
      <xdr:colOff>408032</xdr:colOff>
      <xdr:row>13</xdr:row>
      <xdr:rowOff>127134</xdr:rowOff>
    </xdr:to>
    <xdr:pic>
      <xdr:nvPicPr>
        <xdr:cNvPr id="147" name="Gráfico 146" descr="Moedas">
          <a:extLst>
            <a:ext uri="{FF2B5EF4-FFF2-40B4-BE49-F238E27FC236}">
              <a16:creationId xmlns:a16="http://schemas.microsoft.com/office/drawing/2014/main" id="{AE9BE5F6-6CE9-4A58-A584-9920F8159C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1"/>
            </a:ext>
          </a:extLst>
        </a:blip>
        <a:stretch>
          <a:fillRect/>
        </a:stretch>
      </xdr:blipFill>
      <xdr:spPr>
        <a:xfrm>
          <a:off x="5513432" y="2307301"/>
          <a:ext cx="381000" cy="296333"/>
        </a:xfrm>
        <a:prstGeom prst="rect">
          <a:avLst/>
        </a:prstGeom>
      </xdr:spPr>
    </xdr:pic>
    <xdr:clientData/>
  </xdr:twoCellAnchor>
  <xdr:twoCellAnchor>
    <xdr:from>
      <xdr:col>19</xdr:col>
      <xdr:colOff>85725</xdr:colOff>
      <xdr:row>6</xdr:row>
      <xdr:rowOff>114300</xdr:rowOff>
    </xdr:from>
    <xdr:to>
      <xdr:col>20</xdr:col>
      <xdr:colOff>228600</xdr:colOff>
      <xdr:row>9</xdr:row>
      <xdr:rowOff>57150</xdr:rowOff>
    </xdr:to>
    <xdr:sp macro="" textlink="">
      <xdr:nvSpPr>
        <xdr:cNvPr id="100" name="Seta: para a Direita 99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7D0F863A-E6B0-497D-89F8-D1890DDDA3BD}"/>
            </a:ext>
          </a:extLst>
        </xdr:cNvPr>
        <xdr:cNvSpPr/>
      </xdr:nvSpPr>
      <xdr:spPr>
        <a:xfrm>
          <a:off x="11677650" y="1257300"/>
          <a:ext cx="752475" cy="51435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133350</xdr:colOff>
      <xdr:row>1</xdr:row>
      <xdr:rowOff>104775</xdr:rowOff>
    </xdr:from>
    <xdr:to>
      <xdr:col>2</xdr:col>
      <xdr:colOff>390525</xdr:colOff>
      <xdr:row>4</xdr:row>
      <xdr:rowOff>76200</xdr:rowOff>
    </xdr:to>
    <xdr:sp macro="" textlink="">
      <xdr:nvSpPr>
        <xdr:cNvPr id="101" name="Faixa de Opções: Inclinada para Baixo 100">
          <a:extLst>
            <a:ext uri="{FF2B5EF4-FFF2-40B4-BE49-F238E27FC236}">
              <a16:creationId xmlns:a16="http://schemas.microsoft.com/office/drawing/2014/main" id="{234A4BB4-82CB-47AB-A447-86180A4027E0}"/>
            </a:ext>
          </a:extLst>
        </xdr:cNvPr>
        <xdr:cNvSpPr/>
      </xdr:nvSpPr>
      <xdr:spPr>
        <a:xfrm>
          <a:off x="133350" y="295275"/>
          <a:ext cx="1476375" cy="542925"/>
        </a:xfrm>
        <a:prstGeom prst="ribbon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LOGO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39299</xdr:colOff>
      <xdr:row>8</xdr:row>
      <xdr:rowOff>19316</xdr:rowOff>
    </xdr:from>
    <xdr:to>
      <xdr:col>1</xdr:col>
      <xdr:colOff>559816</xdr:colOff>
      <xdr:row>10</xdr:row>
      <xdr:rowOff>113496</xdr:rowOff>
    </xdr:to>
    <xdr:sp macro="" textlink="">
      <xdr:nvSpPr>
        <xdr:cNvPr id="10" name="Elipse 9">
          <a:extLst>
            <a:ext uri="{FF2B5EF4-FFF2-40B4-BE49-F238E27FC236}">
              <a16:creationId xmlns:a16="http://schemas.microsoft.com/office/drawing/2014/main" id="{1C921E3E-96B8-4CA7-A4B0-697E4B0F238E}"/>
            </a:ext>
          </a:extLst>
        </xdr:cNvPr>
        <xdr:cNvSpPr/>
      </xdr:nvSpPr>
      <xdr:spPr>
        <a:xfrm>
          <a:off x="645435" y="590816"/>
          <a:ext cx="520517" cy="483839"/>
        </a:xfrm>
        <a:prstGeom prst="ellipse">
          <a:avLst/>
        </a:prstGeom>
        <a:solidFill>
          <a:schemeClr val="accent6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27575</xdr:colOff>
      <xdr:row>16</xdr:row>
      <xdr:rowOff>168185</xdr:rowOff>
    </xdr:from>
    <xdr:to>
      <xdr:col>1</xdr:col>
      <xdr:colOff>548626</xdr:colOff>
      <xdr:row>19</xdr:row>
      <xdr:rowOff>71865</xdr:rowOff>
    </xdr:to>
    <xdr:sp macro="" textlink="">
      <xdr:nvSpPr>
        <xdr:cNvPr id="11" name="Elipse 10">
          <a:extLst>
            <a:ext uri="{FF2B5EF4-FFF2-40B4-BE49-F238E27FC236}">
              <a16:creationId xmlns:a16="http://schemas.microsoft.com/office/drawing/2014/main" id="{4B75AF09-309E-46BE-89F0-519E63310A5D}"/>
            </a:ext>
          </a:extLst>
        </xdr:cNvPr>
        <xdr:cNvSpPr/>
      </xdr:nvSpPr>
      <xdr:spPr>
        <a:xfrm>
          <a:off x="633711" y="2281003"/>
          <a:ext cx="521051" cy="483839"/>
        </a:xfrm>
        <a:prstGeom prst="ellipse">
          <a:avLst/>
        </a:prstGeom>
        <a:solidFill>
          <a:schemeClr val="accent6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25511</xdr:colOff>
      <xdr:row>12</xdr:row>
      <xdr:rowOff>92253</xdr:rowOff>
    </xdr:from>
    <xdr:to>
      <xdr:col>1</xdr:col>
      <xdr:colOff>544563</xdr:colOff>
      <xdr:row>14</xdr:row>
      <xdr:rowOff>186433</xdr:rowOff>
    </xdr:to>
    <xdr:sp macro="" textlink="">
      <xdr:nvSpPr>
        <xdr:cNvPr id="12" name="Elipse 11">
          <a:extLst>
            <a:ext uri="{FF2B5EF4-FFF2-40B4-BE49-F238E27FC236}">
              <a16:creationId xmlns:a16="http://schemas.microsoft.com/office/drawing/2014/main" id="{43EDB699-6FB2-4CEB-BBCE-CD643BEAC584}"/>
            </a:ext>
          </a:extLst>
        </xdr:cNvPr>
        <xdr:cNvSpPr/>
      </xdr:nvSpPr>
      <xdr:spPr>
        <a:xfrm>
          <a:off x="631647" y="1434412"/>
          <a:ext cx="519052" cy="483839"/>
        </a:xfrm>
        <a:prstGeom prst="ellipse">
          <a:avLst/>
        </a:prstGeom>
        <a:solidFill>
          <a:schemeClr val="accent6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52220</xdr:colOff>
      <xdr:row>20</xdr:row>
      <xdr:rowOff>112168</xdr:rowOff>
    </xdr:from>
    <xdr:to>
      <xdr:col>1</xdr:col>
      <xdr:colOff>573271</xdr:colOff>
      <xdr:row>23</xdr:row>
      <xdr:rowOff>8521</xdr:rowOff>
    </xdr:to>
    <xdr:sp macro="" textlink="">
      <xdr:nvSpPr>
        <xdr:cNvPr id="13" name="Elipse 12">
          <a:extLst>
            <a:ext uri="{FF2B5EF4-FFF2-40B4-BE49-F238E27FC236}">
              <a16:creationId xmlns:a16="http://schemas.microsoft.com/office/drawing/2014/main" id="{CA4C4C55-EA06-4B87-9E58-9A632DA94F64}"/>
            </a:ext>
          </a:extLst>
        </xdr:cNvPr>
        <xdr:cNvSpPr/>
      </xdr:nvSpPr>
      <xdr:spPr>
        <a:xfrm>
          <a:off x="658356" y="2995645"/>
          <a:ext cx="521051" cy="476512"/>
        </a:xfrm>
        <a:prstGeom prst="ellipse">
          <a:avLst/>
        </a:prstGeom>
        <a:solidFill>
          <a:schemeClr val="accent6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</xdr:col>
      <xdr:colOff>92252</xdr:colOff>
      <xdr:row>8</xdr:row>
      <xdr:rowOff>19317</xdr:rowOff>
    </xdr:from>
    <xdr:to>
      <xdr:col>1</xdr:col>
      <xdr:colOff>512472</xdr:colOff>
      <xdr:row>10</xdr:row>
      <xdr:rowOff>54681</xdr:rowOff>
    </xdr:to>
    <xdr:pic>
      <xdr:nvPicPr>
        <xdr:cNvPr id="14" name="Gráfico 13" descr="Dinheiro">
          <a:extLst>
            <a:ext uri="{FF2B5EF4-FFF2-40B4-BE49-F238E27FC236}">
              <a16:creationId xmlns:a16="http://schemas.microsoft.com/office/drawing/2014/main" id="{FDEBA079-278A-4BA9-8FC6-7ABE62C7DA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98388" y="590817"/>
          <a:ext cx="420220" cy="425023"/>
        </a:xfrm>
        <a:prstGeom prst="rect">
          <a:avLst/>
        </a:prstGeom>
      </xdr:spPr>
    </xdr:pic>
    <xdr:clientData/>
  </xdr:twoCellAnchor>
  <xdr:twoCellAnchor editAs="oneCell">
    <xdr:from>
      <xdr:col>1</xdr:col>
      <xdr:colOff>112036</xdr:colOff>
      <xdr:row>12</xdr:row>
      <xdr:rowOff>147803</xdr:rowOff>
    </xdr:from>
    <xdr:to>
      <xdr:col>1</xdr:col>
      <xdr:colOff>470570</xdr:colOff>
      <xdr:row>14</xdr:row>
      <xdr:rowOff>119476</xdr:rowOff>
    </xdr:to>
    <xdr:pic>
      <xdr:nvPicPr>
        <xdr:cNvPr id="15" name="Imagem 14">
          <a:extLst>
            <a:ext uri="{FF2B5EF4-FFF2-40B4-BE49-F238E27FC236}">
              <a16:creationId xmlns:a16="http://schemas.microsoft.com/office/drawing/2014/main" id="{BF3C32A0-35C2-4F9B-8C47-40914EA1F2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8172" y="1489962"/>
          <a:ext cx="358534" cy="361332"/>
        </a:xfrm>
        <a:prstGeom prst="rect">
          <a:avLst/>
        </a:prstGeom>
      </xdr:spPr>
    </xdr:pic>
    <xdr:clientData/>
  </xdr:twoCellAnchor>
  <xdr:twoCellAnchor editAs="oneCell">
    <xdr:from>
      <xdr:col>1</xdr:col>
      <xdr:colOff>113635</xdr:colOff>
      <xdr:row>17</xdr:row>
      <xdr:rowOff>5995</xdr:rowOff>
    </xdr:from>
    <xdr:to>
      <xdr:col>1</xdr:col>
      <xdr:colOff>510550</xdr:colOff>
      <xdr:row>19</xdr:row>
      <xdr:rowOff>13668</xdr:rowOff>
    </xdr:to>
    <xdr:pic>
      <xdr:nvPicPr>
        <xdr:cNvPr id="16" name="Imagem 15">
          <a:extLst>
            <a:ext uri="{FF2B5EF4-FFF2-40B4-BE49-F238E27FC236}">
              <a16:creationId xmlns:a16="http://schemas.microsoft.com/office/drawing/2014/main" id="{3E5F87DC-DA8B-4637-9E46-B4359F56A5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9771" y="2309313"/>
          <a:ext cx="396915" cy="397332"/>
        </a:xfrm>
        <a:prstGeom prst="rect">
          <a:avLst/>
        </a:prstGeom>
      </xdr:spPr>
    </xdr:pic>
    <xdr:clientData/>
  </xdr:twoCellAnchor>
  <xdr:twoCellAnchor editAs="oneCell">
    <xdr:from>
      <xdr:col>1</xdr:col>
      <xdr:colOff>121427</xdr:colOff>
      <xdr:row>20</xdr:row>
      <xdr:rowOff>135149</xdr:rowOff>
    </xdr:from>
    <xdr:to>
      <xdr:col>1</xdr:col>
      <xdr:colOff>529536</xdr:colOff>
      <xdr:row>22</xdr:row>
      <xdr:rowOff>118297</xdr:rowOff>
    </xdr:to>
    <xdr:pic>
      <xdr:nvPicPr>
        <xdr:cNvPr id="17" name="Gráfico 16" descr="Carteira">
          <a:extLst>
            <a:ext uri="{FF2B5EF4-FFF2-40B4-BE49-F238E27FC236}">
              <a16:creationId xmlns:a16="http://schemas.microsoft.com/office/drawing/2014/main" id="{A5F11332-A228-412A-87D8-DB521A8723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27563" y="3018626"/>
          <a:ext cx="408109" cy="372807"/>
        </a:xfrm>
        <a:prstGeom prst="rect">
          <a:avLst/>
        </a:prstGeom>
      </xdr:spPr>
    </xdr:pic>
    <xdr:clientData/>
  </xdr:twoCellAnchor>
  <xdr:twoCellAnchor>
    <xdr:from>
      <xdr:col>8</xdr:col>
      <xdr:colOff>14655</xdr:colOff>
      <xdr:row>7</xdr:row>
      <xdr:rowOff>175846</xdr:rowOff>
    </xdr:from>
    <xdr:to>
      <xdr:col>8</xdr:col>
      <xdr:colOff>535706</xdr:colOff>
      <xdr:row>10</xdr:row>
      <xdr:rowOff>86853</xdr:rowOff>
    </xdr:to>
    <xdr:sp macro="" textlink="">
      <xdr:nvSpPr>
        <xdr:cNvPr id="18" name="Elipse 17">
          <a:extLst>
            <a:ext uri="{FF2B5EF4-FFF2-40B4-BE49-F238E27FC236}">
              <a16:creationId xmlns:a16="http://schemas.microsoft.com/office/drawing/2014/main" id="{7AF2A67E-33DD-47E4-8C5E-8FB4A15B5628}"/>
            </a:ext>
          </a:extLst>
        </xdr:cNvPr>
        <xdr:cNvSpPr/>
      </xdr:nvSpPr>
      <xdr:spPr>
        <a:xfrm>
          <a:off x="4879732" y="556846"/>
          <a:ext cx="521051" cy="489834"/>
        </a:xfrm>
        <a:prstGeom prst="ellipse">
          <a:avLst/>
        </a:prstGeom>
        <a:solidFill>
          <a:schemeClr val="accent6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27843</xdr:colOff>
      <xdr:row>12</xdr:row>
      <xdr:rowOff>137747</xdr:rowOff>
    </xdr:from>
    <xdr:to>
      <xdr:col>8</xdr:col>
      <xdr:colOff>548894</xdr:colOff>
      <xdr:row>15</xdr:row>
      <xdr:rowOff>41427</xdr:rowOff>
    </xdr:to>
    <xdr:sp macro="" textlink="">
      <xdr:nvSpPr>
        <xdr:cNvPr id="19" name="Elipse 18">
          <a:extLst>
            <a:ext uri="{FF2B5EF4-FFF2-40B4-BE49-F238E27FC236}">
              <a16:creationId xmlns:a16="http://schemas.microsoft.com/office/drawing/2014/main" id="{B7D0E6FE-3B48-4A2C-9855-B7782B61CF78}"/>
            </a:ext>
          </a:extLst>
        </xdr:cNvPr>
        <xdr:cNvSpPr/>
      </xdr:nvSpPr>
      <xdr:spPr>
        <a:xfrm>
          <a:off x="4892920" y="1478574"/>
          <a:ext cx="521051" cy="482507"/>
        </a:xfrm>
        <a:prstGeom prst="ellipse">
          <a:avLst/>
        </a:prstGeom>
        <a:solidFill>
          <a:schemeClr val="accent6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41032</xdr:colOff>
      <xdr:row>17</xdr:row>
      <xdr:rowOff>19051</xdr:rowOff>
    </xdr:from>
    <xdr:to>
      <xdr:col>8</xdr:col>
      <xdr:colOff>562083</xdr:colOff>
      <xdr:row>19</xdr:row>
      <xdr:rowOff>113231</xdr:rowOff>
    </xdr:to>
    <xdr:sp macro="" textlink="">
      <xdr:nvSpPr>
        <xdr:cNvPr id="20" name="Elipse 19">
          <a:extLst>
            <a:ext uri="{FF2B5EF4-FFF2-40B4-BE49-F238E27FC236}">
              <a16:creationId xmlns:a16="http://schemas.microsoft.com/office/drawing/2014/main" id="{5A4038A5-A49F-4C31-96E9-193EDDFBA0F5}"/>
            </a:ext>
          </a:extLst>
        </xdr:cNvPr>
        <xdr:cNvSpPr/>
      </xdr:nvSpPr>
      <xdr:spPr>
        <a:xfrm>
          <a:off x="4906109" y="2319705"/>
          <a:ext cx="521051" cy="482507"/>
        </a:xfrm>
        <a:prstGeom prst="ellipse">
          <a:avLst/>
        </a:prstGeom>
        <a:solidFill>
          <a:schemeClr val="accent6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61546</xdr:colOff>
      <xdr:row>21</xdr:row>
      <xdr:rowOff>24911</xdr:rowOff>
    </xdr:from>
    <xdr:to>
      <xdr:col>8</xdr:col>
      <xdr:colOff>582597</xdr:colOff>
      <xdr:row>23</xdr:row>
      <xdr:rowOff>119091</xdr:rowOff>
    </xdr:to>
    <xdr:sp macro="" textlink="">
      <xdr:nvSpPr>
        <xdr:cNvPr id="21" name="Elipse 20">
          <a:extLst>
            <a:ext uri="{FF2B5EF4-FFF2-40B4-BE49-F238E27FC236}">
              <a16:creationId xmlns:a16="http://schemas.microsoft.com/office/drawing/2014/main" id="{37F0209A-A9AE-4134-9BE5-3E0ACDF9D706}"/>
            </a:ext>
          </a:extLst>
        </xdr:cNvPr>
        <xdr:cNvSpPr/>
      </xdr:nvSpPr>
      <xdr:spPr>
        <a:xfrm>
          <a:off x="4926623" y="3094892"/>
          <a:ext cx="521051" cy="482507"/>
        </a:xfrm>
        <a:prstGeom prst="ellipse">
          <a:avLst/>
        </a:prstGeom>
        <a:solidFill>
          <a:schemeClr val="accent6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8</xdr:col>
      <xdr:colOff>102578</xdr:colOff>
      <xdr:row>8</xdr:row>
      <xdr:rowOff>73268</xdr:rowOff>
    </xdr:from>
    <xdr:to>
      <xdr:col>8</xdr:col>
      <xdr:colOff>483578</xdr:colOff>
      <xdr:row>9</xdr:row>
      <xdr:rowOff>171774</xdr:rowOff>
    </xdr:to>
    <xdr:pic>
      <xdr:nvPicPr>
        <xdr:cNvPr id="22" name="Gráfico 21" descr="Moedas">
          <a:extLst>
            <a:ext uri="{FF2B5EF4-FFF2-40B4-BE49-F238E27FC236}">
              <a16:creationId xmlns:a16="http://schemas.microsoft.com/office/drawing/2014/main" id="{6F67D99A-9E21-4095-A343-45DD1E0478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967655" y="644768"/>
          <a:ext cx="381000" cy="296333"/>
        </a:xfrm>
        <a:prstGeom prst="rect">
          <a:avLst/>
        </a:prstGeom>
      </xdr:spPr>
    </xdr:pic>
    <xdr:clientData/>
  </xdr:twoCellAnchor>
  <xdr:twoCellAnchor editAs="oneCell">
    <xdr:from>
      <xdr:col>8</xdr:col>
      <xdr:colOff>115766</xdr:colOff>
      <xdr:row>12</xdr:row>
      <xdr:rowOff>167055</xdr:rowOff>
    </xdr:from>
    <xdr:to>
      <xdr:col>8</xdr:col>
      <xdr:colOff>506291</xdr:colOff>
      <xdr:row>14</xdr:row>
      <xdr:rowOff>159728</xdr:rowOff>
    </xdr:to>
    <xdr:pic>
      <xdr:nvPicPr>
        <xdr:cNvPr id="24" name="Gráfico 23" descr="Cofrinho">
          <a:extLst>
            <a:ext uri="{FF2B5EF4-FFF2-40B4-BE49-F238E27FC236}">
              <a16:creationId xmlns:a16="http://schemas.microsoft.com/office/drawing/2014/main" id="{006BF5DE-7FAF-416A-BE17-DB4E2AC4C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980843" y="1507882"/>
          <a:ext cx="390525" cy="381000"/>
        </a:xfrm>
        <a:prstGeom prst="rect">
          <a:avLst/>
        </a:prstGeom>
      </xdr:spPr>
    </xdr:pic>
    <xdr:clientData/>
  </xdr:twoCellAnchor>
  <xdr:twoCellAnchor editAs="oneCell">
    <xdr:from>
      <xdr:col>8</xdr:col>
      <xdr:colOff>99648</xdr:colOff>
      <xdr:row>17</xdr:row>
      <xdr:rowOff>70339</xdr:rowOff>
    </xdr:from>
    <xdr:to>
      <xdr:col>8</xdr:col>
      <xdr:colOff>495648</xdr:colOff>
      <xdr:row>19</xdr:row>
      <xdr:rowOff>78012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id="{9EF44B67-9692-4A54-8CF8-904167500F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64725" y="2370993"/>
          <a:ext cx="396000" cy="396000"/>
        </a:xfrm>
        <a:prstGeom prst="rect">
          <a:avLst/>
        </a:prstGeom>
      </xdr:spPr>
    </xdr:pic>
    <xdr:clientData/>
  </xdr:twoCellAnchor>
  <xdr:twoCellAnchor editAs="oneCell">
    <xdr:from>
      <xdr:col>8</xdr:col>
      <xdr:colOff>105508</xdr:colOff>
      <xdr:row>21</xdr:row>
      <xdr:rowOff>68872</xdr:rowOff>
    </xdr:from>
    <xdr:to>
      <xdr:col>8</xdr:col>
      <xdr:colOff>562708</xdr:colOff>
      <xdr:row>23</xdr:row>
      <xdr:rowOff>53769</xdr:rowOff>
    </xdr:to>
    <xdr:pic>
      <xdr:nvPicPr>
        <xdr:cNvPr id="26" name="Gráfico 25" descr="Alvo">
          <a:extLst>
            <a:ext uri="{FF2B5EF4-FFF2-40B4-BE49-F238E27FC236}">
              <a16:creationId xmlns:a16="http://schemas.microsoft.com/office/drawing/2014/main" id="{1A998EB2-DEE9-41A4-9246-D786012B74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4970585" y="3138853"/>
          <a:ext cx="457200" cy="373224"/>
        </a:xfrm>
        <a:prstGeom prst="rect">
          <a:avLst/>
        </a:prstGeom>
      </xdr:spPr>
    </xdr:pic>
    <xdr:clientData/>
  </xdr:twoCellAnchor>
  <xdr:twoCellAnchor>
    <xdr:from>
      <xdr:col>1</xdr:col>
      <xdr:colOff>25979</xdr:colOff>
      <xdr:row>1</xdr:row>
      <xdr:rowOff>95251</xdr:rowOff>
    </xdr:from>
    <xdr:to>
      <xdr:col>2</xdr:col>
      <xdr:colOff>190500</xdr:colOff>
      <xdr:row>3</xdr:row>
      <xdr:rowOff>164523</xdr:rowOff>
    </xdr:to>
    <xdr:sp macro="" textlink="">
      <xdr:nvSpPr>
        <xdr:cNvPr id="49" name="Seta: para a Esquerda 48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4C606BDD-1C55-46BD-A63C-C850B132E3D0}"/>
            </a:ext>
          </a:extLst>
        </xdr:cNvPr>
        <xdr:cNvSpPr/>
      </xdr:nvSpPr>
      <xdr:spPr>
        <a:xfrm>
          <a:off x="632115" y="285751"/>
          <a:ext cx="770658" cy="450272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Lucas" refreshedDate="44330.647560648147" createdVersion="6" refreshedVersion="6" minRefreshableVersion="3" recordCount="23" xr:uid="{55ED1BD1-884A-40F3-B5B6-A6EC6F50E75C}">
  <cacheSource type="worksheet">
    <worksheetSource name="Tabela6"/>
  </cacheSource>
  <cacheFields count="8">
    <cacheField name="Nome" numFmtId="0">
      <sharedItems/>
    </cacheField>
    <cacheField name="Data/ínicio" numFmtId="14">
      <sharedItems containsSemiMixedTypes="0" containsNonDate="0" containsDate="1" containsString="0" minDate="2020-12-09T00:00:00" maxDate="2021-04-24T00:00:00"/>
    </cacheField>
    <cacheField name="Data/final" numFmtId="14">
      <sharedItems containsSemiMixedTypes="0" containsNonDate="0" containsDate="1" containsString="0" minDate="2021-06-07T00:00:00" maxDate="2023-02-02T00:00:00" count="21">
        <d v="2021-06-07T00:00:00"/>
        <d v="2021-12-06T00:00:00"/>
        <d v="2022-12-25T00:00:00"/>
        <d v="2023-01-02T00:00:00"/>
        <d v="2022-01-07T00:00:00"/>
        <d v="2022-01-08T00:00:00"/>
        <d v="2021-07-13T00:00:00"/>
        <d v="2021-07-21T00:00:00"/>
        <d v="2022-01-20T00:00:00"/>
        <d v="2021-08-10T00:00:00"/>
        <d v="2023-02-01T00:00:00"/>
        <d v="2022-02-06T00:00:00"/>
        <d v="2022-02-13T00:00:00"/>
        <d v="2022-02-24T00:00:00"/>
        <d v="2022-02-27T00:00:00"/>
        <d v="2022-03-04T00:00:00"/>
        <d v="2021-09-06T00:00:00"/>
        <d v="2022-03-18T00:00:00"/>
        <d v="2021-09-21T00:00:00"/>
        <d v="2022-03-24T00:00:00"/>
        <d v="2022-04-18T00:00:00"/>
      </sharedItems>
      <fieldGroup par="7" base="2">
        <rangePr groupBy="months" startDate="2021-06-07T00:00:00" endDate="2023-02-02T00:00:00"/>
        <groupItems count="14">
          <s v="&lt;07/06/2021"/>
          <s v="jan"/>
          <s v="fev"/>
          <s v="mar"/>
          <s v="abr"/>
          <s v="mai"/>
          <s v="jun"/>
          <s v="jul"/>
          <s v="ago"/>
          <s v="set"/>
          <s v="out"/>
          <s v="nov"/>
          <s v="dez"/>
          <s v="&gt;02/02/2023"/>
        </groupItems>
      </fieldGroup>
    </cacheField>
    <cacheField name="Modalidade" numFmtId="0">
      <sharedItems containsBlank="1" count="6">
        <s v="Semestral"/>
        <s v="Anual"/>
        <s v="Bienal"/>
        <m u="1"/>
        <s v="Bianual" u="1"/>
        <s v="Trimestral" u="1"/>
      </sharedItems>
    </cacheField>
    <cacheField name="Data/conteúdo" numFmtId="0">
      <sharedItems containsNonDate="0" containsString="0" containsBlank="1"/>
    </cacheField>
    <cacheField name="Status do Serviço" numFmtId="0">
      <sharedItems/>
    </cacheField>
    <cacheField name="Trimestres" numFmtId="0" databaseField="0">
      <fieldGroup base="2">
        <rangePr groupBy="quarters" startDate="2021-06-07T00:00:00" endDate="2023-02-02T00:00:00"/>
        <groupItems count="6">
          <s v="&lt;07/06/2021"/>
          <s v="Trim1"/>
          <s v="Trim2"/>
          <s v="Trim3"/>
          <s v="Trim4"/>
          <s v="&gt;02/02/2023"/>
        </groupItems>
      </fieldGroup>
    </cacheField>
    <cacheField name="Anos" numFmtId="0" databaseField="0">
      <fieldGroup base="2">
        <rangePr groupBy="years" startDate="2021-06-07T00:00:00" endDate="2023-02-02T00:00:00"/>
        <groupItems count="5">
          <s v="&lt;07/06/2021"/>
          <s v="2021"/>
          <s v="2022"/>
          <s v="2023"/>
          <s v="&gt;02/02/2023"/>
        </groupItems>
      </fieldGroup>
    </cacheField>
  </cacheFields>
  <extLst>
    <ext xmlns:x14="http://schemas.microsoft.com/office/spreadsheetml/2009/9/main" uri="{725AE2AE-9491-48be-B2B4-4EB974FC3084}">
      <x14:pivotCacheDefinition pivotCacheId="1558343194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Lucas" refreshedDate="44330.647561342594" createdVersion="6" refreshedVersion="6" minRefreshableVersion="3" recordCount="23" xr:uid="{F5F522BE-3B87-4707-A5C4-0C74AB792098}">
  <cacheSource type="worksheet">
    <worksheetSource name="Tabela62"/>
  </cacheSource>
  <cacheFields count="15">
    <cacheField name="Nome" numFmtId="0">
      <sharedItems/>
    </cacheField>
    <cacheField name="Status Fin." numFmtId="0">
      <sharedItems count="3">
        <s v="Finalizado"/>
        <s v="Em Andamento"/>
        <s v="Concluído" u="1"/>
      </sharedItems>
    </cacheField>
    <cacheField name="Valor Total" numFmtId="164">
      <sharedItems containsSemiMixedTypes="0" containsString="0" containsNumber="1" containsInteger="1" minValue="690" maxValue="2040"/>
    </cacheField>
    <cacheField name="Desconto" numFmtId="10">
      <sharedItems containsSemiMixedTypes="0" containsString="0" containsNumber="1" minValue="0" maxValue="0.6"/>
    </cacheField>
    <cacheField name="Valor Final" numFmtId="44">
      <sharedItems containsSemiMixedTypes="0" containsString="0" containsNumber="1" minValue="552" maxValue="1836"/>
    </cacheField>
    <cacheField name="Val. Méd. PCL" numFmtId="44">
      <sharedItems containsSemiMixedTypes="0" containsString="0" containsNumber="1" minValue="34" maxValue="115"/>
    </cacheField>
    <cacheField name="Forma de Pgto" numFmtId="0">
      <sharedItems containsBlank="1" count="7">
        <s v="Cheque"/>
        <s v="Pix"/>
        <s v="Dinheiro"/>
        <s v="Cartão"/>
        <m u="1"/>
        <s v="Boleto" u="1"/>
        <s v="Cart‹o" u="1"/>
      </sharedItems>
    </cacheField>
    <cacheField name="PCL's" numFmtId="0">
      <sharedItems containsSemiMixedTypes="0" containsString="0" containsNumber="1" containsInteger="1" minValue="1" maxValue="24" count="9">
        <n v="1"/>
        <n v="12"/>
        <n v="6"/>
        <n v="24" u="1"/>
        <n v="3" u="1"/>
        <n v="7" u="1"/>
        <n v="4" u="1"/>
        <n v="2" u="1"/>
        <n v="9" u="1"/>
      </sharedItems>
    </cacheField>
    <cacheField name="PCL Atual" numFmtId="0">
      <sharedItems containsSemiMixedTypes="0" containsString="0" containsNumber="1" containsInteger="1" minValue="1" maxValue="12"/>
    </cacheField>
    <cacheField name="Status de Pgto" numFmtId="0">
      <sharedItems containsBlank="1" count="6">
        <s v="Pago"/>
        <s v="Pendente"/>
        <m u="1"/>
        <s v="Atrasado" u="1"/>
        <s v="Próximo Mês" u="1"/>
        <s v="Concluído" u="1"/>
      </sharedItems>
    </cacheField>
    <cacheField name="Status do Serviço" numFmtId="0">
      <sharedItems count="3">
        <s v="Em Andamento"/>
        <s v="Não Iniciado" u="1"/>
        <s v="Concluído" u="1"/>
      </sharedItems>
    </cacheField>
    <cacheField name="Valor da PCL" numFmtId="164">
      <sharedItems containsSemiMixedTypes="0" containsString="0" containsNumber="1" minValue="90" maxValue="1836"/>
    </cacheField>
    <cacheField name="Valor Pago" numFmtId="164">
      <sharedItems containsSemiMixedTypes="0" containsString="0" containsNumber="1" containsInteger="1" minValue="0" maxValue="1836"/>
    </cacheField>
    <cacheField name="Valor a Receber" numFmtId="164">
      <sharedItems containsSemiMixedTypes="0" containsString="0" containsNumber="1" minValue="0" maxValue="1200"/>
    </cacheField>
    <cacheField name="Data/ínicio" numFmtId="14">
      <sharedItems containsSemiMixedTypes="0" containsNonDate="0" containsDate="1" containsString="0" minDate="2020-12-09T00:00:00" maxDate="2021-04-24T00:00: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">
  <r>
    <s v="Marta Amalia Garcia Lopes Abe"/>
    <d v="2020-12-09T00:00:00"/>
    <x v="0"/>
    <x v="0"/>
    <m/>
    <s v="Finalizado"/>
  </r>
  <r>
    <s v="Debora Guerzoni Bordoni"/>
    <d v="2020-12-11T00:00:00"/>
    <x v="1"/>
    <x v="1"/>
    <m/>
    <s v="Finalizado"/>
  </r>
  <r>
    <s v="Maria Aparecida Destido dos Santos"/>
    <d v="2020-12-11T00:00:00"/>
    <x v="1"/>
    <x v="1"/>
    <m/>
    <s v="Finalizado"/>
  </r>
  <r>
    <s v="Juarez Eckeli"/>
    <d v="2021-01-04T00:00:00"/>
    <x v="2"/>
    <x v="2"/>
    <m/>
    <s v="Finalizado"/>
  </r>
  <r>
    <s v="Claudio Romualdo"/>
    <d v="2021-01-12T00:00:00"/>
    <x v="3"/>
    <x v="2"/>
    <m/>
    <s v="Finalizado"/>
  </r>
  <r>
    <s v="Luiz Gonzaga Tone"/>
    <d v="2021-01-12T00:00:00"/>
    <x v="4"/>
    <x v="1"/>
    <m/>
    <s v="Finalizado"/>
  </r>
  <r>
    <s v="Rui Dall Agnol"/>
    <d v="2021-01-12T00:00:00"/>
    <x v="4"/>
    <x v="1"/>
    <m/>
    <s v="Finalizado"/>
  </r>
  <r>
    <s v="Edna Clementina Balsani"/>
    <d v="2021-01-13T00:00:00"/>
    <x v="5"/>
    <x v="1"/>
    <m/>
    <s v="Finalizado"/>
  </r>
  <r>
    <s v="Luiz Gustavo Placiteli"/>
    <d v="2021-01-14T00:00:00"/>
    <x v="6"/>
    <x v="0"/>
    <m/>
    <s v="Em Andamento"/>
  </r>
  <r>
    <s v="Marta Maria Tartaro de Souza"/>
    <d v="2021-01-22T00:00:00"/>
    <x v="7"/>
    <x v="0"/>
    <m/>
    <s v="Em Andamento"/>
  </r>
  <r>
    <s v="Maria Aparecida Silva Moura"/>
    <d v="2021-01-25T00:00:00"/>
    <x v="8"/>
    <x v="1"/>
    <m/>
    <s v="Finalizado"/>
  </r>
  <r>
    <s v="Magda Maria Fontes Gastardeli"/>
    <d v="2021-02-11T00:00:00"/>
    <x v="9"/>
    <x v="0"/>
    <m/>
    <s v="Finalizado"/>
  </r>
  <r>
    <s v="Miguel Marques"/>
    <d v="2021-02-11T00:00:00"/>
    <x v="10"/>
    <x v="2"/>
    <m/>
    <s v="Finalizado"/>
  </r>
  <r>
    <s v="Miguel Mutton"/>
    <d v="2021-02-11T00:00:00"/>
    <x v="11"/>
    <x v="1"/>
    <m/>
    <s v="Finalizado"/>
  </r>
  <r>
    <s v="Ana Maria Colichio V. Sbrissa"/>
    <d v="2021-02-18T00:00:00"/>
    <x v="12"/>
    <x v="1"/>
    <m/>
    <s v="Finalizado"/>
  </r>
  <r>
    <s v="Maria Bernadeth de Carvalho Santos"/>
    <d v="2021-03-01T00:00:00"/>
    <x v="13"/>
    <x v="1"/>
    <m/>
    <s v="Em Andamento"/>
  </r>
  <r>
    <s v="Dirce Santos Rosa e Silva"/>
    <d v="2021-03-04T00:00:00"/>
    <x v="14"/>
    <x v="1"/>
    <m/>
    <s v="Finalizado"/>
  </r>
  <r>
    <s v="Sônia Maria Farias Cobianchi"/>
    <d v="2021-03-09T00:00:00"/>
    <x v="15"/>
    <x v="1"/>
    <m/>
    <s v="Finalizado"/>
  </r>
  <r>
    <s v="Josino Fernandes de Souza"/>
    <d v="2021-03-10T00:00:00"/>
    <x v="16"/>
    <x v="0"/>
    <m/>
    <s v="Finalizado"/>
  </r>
  <r>
    <s v="Celso Inácio"/>
    <d v="2021-03-23T00:00:00"/>
    <x v="17"/>
    <x v="1"/>
    <m/>
    <s v="Finalizado"/>
  </r>
  <r>
    <s v="José Fortes Guimarães Neto"/>
    <d v="2021-03-25T00:00:00"/>
    <x v="18"/>
    <x v="0"/>
    <m/>
    <s v="Em Andamento"/>
  </r>
  <r>
    <s v="Julia Missue Namba"/>
    <d v="2021-03-29T00:00:00"/>
    <x v="19"/>
    <x v="1"/>
    <m/>
    <s v="Finalizado"/>
  </r>
  <r>
    <s v="dede"/>
    <d v="2021-04-23T00:00:00"/>
    <x v="20"/>
    <x v="1"/>
    <m/>
    <s v="Em Andamento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">
  <r>
    <s v="Marta Amalia Garcia Lopes Abe"/>
    <x v="0"/>
    <n v="690"/>
    <n v="0.1"/>
    <n v="621"/>
    <n v="103.5"/>
    <x v="0"/>
    <x v="0"/>
    <n v="1"/>
    <x v="0"/>
    <x v="0"/>
    <n v="621"/>
    <n v="621"/>
    <n v="0"/>
    <d v="2020-12-09T00:00:00"/>
  </r>
  <r>
    <s v="Debora Guerzoni Bordoni"/>
    <x v="0"/>
    <n v="1200"/>
    <n v="0.1"/>
    <n v="1080"/>
    <n v="90"/>
    <x v="0"/>
    <x v="0"/>
    <n v="1"/>
    <x v="0"/>
    <x v="0"/>
    <n v="1080"/>
    <n v="1080"/>
    <n v="0"/>
    <d v="2020-12-11T00:00:00"/>
  </r>
  <r>
    <s v="Maria Aparecida Destido dos Santos"/>
    <x v="0"/>
    <n v="1200"/>
    <n v="0"/>
    <n v="1200"/>
    <n v="100"/>
    <x v="0"/>
    <x v="1"/>
    <n v="12"/>
    <x v="0"/>
    <x v="0"/>
    <n v="100"/>
    <n v="1200"/>
    <n v="0"/>
    <d v="2020-12-11T00:00:00"/>
  </r>
  <r>
    <s v="Juarez Eckeli"/>
    <x v="0"/>
    <n v="2040"/>
    <n v="0.6"/>
    <n v="816"/>
    <n v="34"/>
    <x v="1"/>
    <x v="0"/>
    <n v="1"/>
    <x v="0"/>
    <x v="0"/>
    <n v="816"/>
    <n v="816"/>
    <n v="0"/>
    <d v="2021-01-04T00:00:00"/>
  </r>
  <r>
    <s v="Claudio Romualdo"/>
    <x v="0"/>
    <n v="2040"/>
    <n v="0.1"/>
    <n v="1836"/>
    <n v="76.5"/>
    <x v="2"/>
    <x v="0"/>
    <n v="1"/>
    <x v="0"/>
    <x v="0"/>
    <n v="1836"/>
    <n v="1836"/>
    <n v="0"/>
    <d v="2021-01-12T00:00:00"/>
  </r>
  <r>
    <s v="Luiz Gonzaga Tone"/>
    <x v="0"/>
    <n v="1200"/>
    <n v="0.1"/>
    <n v="1080"/>
    <n v="90"/>
    <x v="3"/>
    <x v="0"/>
    <n v="1"/>
    <x v="0"/>
    <x v="0"/>
    <n v="1080"/>
    <n v="1080"/>
    <n v="0"/>
    <d v="2021-01-12T00:00:00"/>
  </r>
  <r>
    <s v="Rui Dall Agnol"/>
    <x v="0"/>
    <n v="1200"/>
    <n v="0.1"/>
    <n v="1080"/>
    <n v="90"/>
    <x v="3"/>
    <x v="0"/>
    <n v="1"/>
    <x v="0"/>
    <x v="0"/>
    <n v="1080"/>
    <n v="1080"/>
    <n v="0"/>
    <d v="2021-01-12T00:00:00"/>
  </r>
  <r>
    <s v="Edna Clementina Balsani"/>
    <x v="0"/>
    <n v="1200"/>
    <n v="0.1"/>
    <n v="1080"/>
    <n v="90"/>
    <x v="0"/>
    <x v="1"/>
    <n v="12"/>
    <x v="0"/>
    <x v="0"/>
    <n v="90"/>
    <n v="1080"/>
    <n v="0"/>
    <d v="2021-01-13T00:00:00"/>
  </r>
  <r>
    <s v="Luiz Gustavo Placiteli"/>
    <x v="1"/>
    <n v="690"/>
    <n v="0"/>
    <n v="690"/>
    <n v="115"/>
    <x v="3"/>
    <x v="2"/>
    <n v="3"/>
    <x v="0"/>
    <x v="0"/>
    <n v="115"/>
    <n v="345"/>
    <n v="345"/>
    <d v="2021-01-14T00:00:00"/>
  </r>
  <r>
    <s v="Marta Maria Tartaro de Souza"/>
    <x v="1"/>
    <n v="690"/>
    <n v="0"/>
    <n v="690"/>
    <n v="115"/>
    <x v="3"/>
    <x v="2"/>
    <n v="3"/>
    <x v="0"/>
    <x v="0"/>
    <n v="115"/>
    <n v="345"/>
    <n v="345"/>
    <d v="2021-01-22T00:00:00"/>
  </r>
  <r>
    <s v="Maria Aparecida Silva Moura"/>
    <x v="0"/>
    <n v="1200"/>
    <n v="0"/>
    <n v="1200"/>
    <n v="100"/>
    <x v="3"/>
    <x v="1"/>
    <n v="12"/>
    <x v="0"/>
    <x v="0"/>
    <n v="100"/>
    <n v="1200"/>
    <n v="0"/>
    <d v="2021-01-25T00:00:00"/>
  </r>
  <r>
    <s v="Magda Maria Fontes Gastardeli"/>
    <x v="0"/>
    <n v="690"/>
    <n v="0"/>
    <n v="690"/>
    <n v="115"/>
    <x v="3"/>
    <x v="2"/>
    <n v="6"/>
    <x v="0"/>
    <x v="0"/>
    <n v="115"/>
    <n v="690"/>
    <n v="0"/>
    <d v="2021-02-11T00:00:00"/>
  </r>
  <r>
    <s v="Miguel Marques"/>
    <x v="0"/>
    <n v="2040"/>
    <n v="0.1"/>
    <n v="1836"/>
    <n v="76.5"/>
    <x v="1"/>
    <x v="0"/>
    <n v="1"/>
    <x v="0"/>
    <x v="0"/>
    <n v="1836"/>
    <n v="1836"/>
    <n v="0"/>
    <d v="2021-02-11T00:00:00"/>
  </r>
  <r>
    <s v="Miguel Mutton"/>
    <x v="0"/>
    <n v="1200"/>
    <n v="0"/>
    <n v="1200"/>
    <n v="100"/>
    <x v="1"/>
    <x v="0"/>
    <n v="1"/>
    <x v="0"/>
    <x v="0"/>
    <n v="1200"/>
    <n v="1200"/>
    <n v="0"/>
    <d v="2021-02-11T00:00:00"/>
  </r>
  <r>
    <s v="Ana Maria Colichio V. Sbrissa"/>
    <x v="0"/>
    <n v="1200"/>
    <n v="0"/>
    <n v="1200"/>
    <n v="100"/>
    <x v="3"/>
    <x v="1"/>
    <n v="12"/>
    <x v="0"/>
    <x v="0"/>
    <n v="100"/>
    <n v="1200"/>
    <n v="0"/>
    <d v="2021-02-18T00:00:00"/>
  </r>
  <r>
    <s v="Maria Bernadeth de Carvalho Santos"/>
    <x v="1"/>
    <n v="1200"/>
    <n v="0"/>
    <n v="1200"/>
    <n v="100"/>
    <x v="2"/>
    <x v="1"/>
    <n v="2"/>
    <x v="0"/>
    <x v="0"/>
    <n v="100"/>
    <n v="200"/>
    <n v="1000"/>
    <d v="2021-03-01T00:00:00"/>
  </r>
  <r>
    <s v="Dirce Santos Rosa e Silva"/>
    <x v="0"/>
    <n v="1200"/>
    <n v="0.1"/>
    <n v="1080"/>
    <n v="90"/>
    <x v="0"/>
    <x v="0"/>
    <n v="1"/>
    <x v="0"/>
    <x v="0"/>
    <n v="1080"/>
    <n v="1080"/>
    <n v="0"/>
    <d v="2021-03-04T00:00:00"/>
  </r>
  <r>
    <s v="Sônia Maria Farias Cobianchi"/>
    <x v="0"/>
    <n v="1200"/>
    <n v="0.2"/>
    <n v="960"/>
    <n v="80"/>
    <x v="2"/>
    <x v="0"/>
    <n v="1"/>
    <x v="0"/>
    <x v="0"/>
    <n v="960"/>
    <n v="960"/>
    <n v="0"/>
    <d v="2021-03-09T00:00:00"/>
  </r>
  <r>
    <s v="Josino Fernandes de Souza"/>
    <x v="0"/>
    <n v="690"/>
    <n v="0.2"/>
    <n v="552"/>
    <n v="92"/>
    <x v="2"/>
    <x v="0"/>
    <n v="1"/>
    <x v="0"/>
    <x v="0"/>
    <n v="552"/>
    <n v="552"/>
    <n v="0"/>
    <d v="2021-03-10T00:00:00"/>
  </r>
  <r>
    <s v="Celso Inácio"/>
    <x v="0"/>
    <n v="1200"/>
    <n v="0.1"/>
    <n v="1080"/>
    <n v="90"/>
    <x v="3"/>
    <x v="0"/>
    <n v="1"/>
    <x v="0"/>
    <x v="0"/>
    <n v="1080"/>
    <n v="1080"/>
    <n v="0"/>
    <d v="2021-03-23T00:00:00"/>
  </r>
  <r>
    <s v="José Fortes Guimarães Neto"/>
    <x v="1"/>
    <n v="690"/>
    <n v="0.13"/>
    <n v="600.29999999999995"/>
    <n v="100.05"/>
    <x v="0"/>
    <x v="0"/>
    <n v="1"/>
    <x v="1"/>
    <x v="0"/>
    <n v="600.29999999999995"/>
    <n v="0"/>
    <n v="600.29999999999995"/>
    <d v="2021-03-25T00:00:00"/>
  </r>
  <r>
    <s v="Julia Missue Namba"/>
    <x v="0"/>
    <n v="1200"/>
    <n v="0.1"/>
    <n v="1080"/>
    <n v="90"/>
    <x v="0"/>
    <x v="0"/>
    <n v="1"/>
    <x v="0"/>
    <x v="0"/>
    <n v="1080"/>
    <n v="1080"/>
    <n v="0"/>
    <d v="2021-03-29T00:00:00"/>
  </r>
  <r>
    <s v="dede"/>
    <x v="1"/>
    <n v="1200"/>
    <n v="0"/>
    <n v="1200"/>
    <n v="100"/>
    <x v="3"/>
    <x v="0"/>
    <n v="1"/>
    <x v="1"/>
    <x v="0"/>
    <n v="1200"/>
    <n v="0"/>
    <n v="1200"/>
    <d v="2021-04-23T00:00: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5563A69-F7A5-4008-8AA4-6FCD9A39FD0D}" name="Tabela dinamica6" cacheId="12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T1:U3" firstHeaderRow="1" firstDataRow="1" firstDataCol="1"/>
  <pivotFields count="15">
    <pivotField showAll="0"/>
    <pivotField showAll="0"/>
    <pivotField numFmtId="164" showAll="0"/>
    <pivotField showAll="0"/>
    <pivotField numFmtId="44" showAll="0"/>
    <pivotField numFmtId="44" showAll="0"/>
    <pivotField showAll="0"/>
    <pivotField showAll="0"/>
    <pivotField showAll="0"/>
    <pivotField axis="axisRow" dataField="1" showAll="0">
      <items count="7">
        <item h="1" x="1"/>
        <item h="1" m="1" x="3"/>
        <item h="1" m="1" x="4"/>
        <item x="0"/>
        <item h="1" m="1" x="2"/>
        <item h="1" m="1" x="5"/>
        <item t="default"/>
      </items>
    </pivotField>
    <pivotField showAll="0"/>
    <pivotField numFmtId="164" showAll="0"/>
    <pivotField numFmtId="164" showAll="0"/>
    <pivotField numFmtId="164" showAll="0"/>
    <pivotField showAll="0"/>
  </pivotFields>
  <rowFields count="1">
    <field x="9"/>
  </rowFields>
  <rowItems count="2">
    <i>
      <x v="3"/>
    </i>
    <i t="grand">
      <x/>
    </i>
  </rowItems>
  <colItems count="1">
    <i/>
  </colItems>
  <dataFields count="1">
    <dataField name="Contagem de Status de Pgto" fld="9" subtotal="count" baseField="0" baseItem="0"/>
  </dataFields>
  <formats count="20">
    <format dxfId="19">
      <pivotArea type="all" dataOnly="0" outline="0" fieldPosition="0"/>
    </format>
    <format dxfId="18">
      <pivotArea outline="0" collapsedLevelsAreSubtotals="1" fieldPosition="0"/>
    </format>
    <format dxfId="17">
      <pivotArea field="9" type="button" dataOnly="0" labelOnly="1" outline="0" axis="axisRow" fieldPosition="0"/>
    </format>
    <format dxfId="16">
      <pivotArea dataOnly="0" labelOnly="1" fieldPosition="0">
        <references count="1">
          <reference field="9" count="0"/>
        </references>
      </pivotArea>
    </format>
    <format dxfId="15">
      <pivotArea dataOnly="0" labelOnly="1" grandRow="1" outline="0" fieldPosition="0"/>
    </format>
    <format dxfId="14">
      <pivotArea dataOnly="0" labelOnly="1" outline="0" axis="axisValues" fieldPosition="0"/>
    </format>
    <format dxfId="13">
      <pivotArea type="all" dataOnly="0" outline="0" fieldPosition="0"/>
    </format>
    <format dxfId="12">
      <pivotArea outline="0" collapsedLevelsAreSubtotals="1" fieldPosition="0"/>
    </format>
    <format dxfId="11">
      <pivotArea field="9" type="button" dataOnly="0" labelOnly="1" outline="0" axis="axisRow" fieldPosition="0"/>
    </format>
    <format dxfId="10">
      <pivotArea dataOnly="0" labelOnly="1" fieldPosition="0">
        <references count="1">
          <reference field="9" count="0"/>
        </references>
      </pivotArea>
    </format>
    <format dxfId="9">
      <pivotArea dataOnly="0" labelOnly="1" grandRow="1" outline="0" fieldPosition="0"/>
    </format>
    <format dxfId="8">
      <pivotArea dataOnly="0" labelOnly="1" outline="0" axis="axisValues" fieldPosition="0"/>
    </format>
    <format dxfId="7">
      <pivotArea type="all" dataOnly="0" outline="0" fieldPosition="0"/>
    </format>
    <format dxfId="6">
      <pivotArea outline="0" collapsedLevelsAreSubtotals="1" fieldPosition="0"/>
    </format>
    <format dxfId="5">
      <pivotArea field="9" type="button" dataOnly="0" labelOnly="1" outline="0" axis="axisRow" fieldPosition="0"/>
    </format>
    <format dxfId="4">
      <pivotArea dataOnly="0" labelOnly="1" fieldPosition="0">
        <references count="1">
          <reference field="9" count="0"/>
        </references>
      </pivotArea>
    </format>
    <format dxfId="3">
      <pivotArea dataOnly="0" labelOnly="1" grandRow="1" outline="0" fieldPosition="0"/>
    </format>
    <format dxfId="2">
      <pivotArea dataOnly="0" labelOnly="1" outline="0" axis="axisValues" fieldPosition="0"/>
    </format>
    <format dxfId="1">
      <pivotArea collapsedLevelsAreSubtotals="1" fieldPosition="0">
        <references count="1">
          <reference field="9" count="0"/>
        </references>
      </pivotArea>
    </format>
    <format dxfId="0">
      <pivotArea collapsedLevelsAreSubtotals="1" fieldPosition="0">
        <references count="1">
          <reference field="9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D5ADD99-4D53-4CF3-B68F-912888EBC18D}" name="Tabela dinamica13" cacheId="12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AV3:AV4" firstHeaderRow="1" firstDataRow="1" firstDataCol="0"/>
  <pivotFields count="15">
    <pivotField showAll="0"/>
    <pivotField showAll="0"/>
    <pivotField numFmtId="164" showAll="0"/>
    <pivotField showAll="0"/>
    <pivotField numFmtId="44" showAll="0"/>
    <pivotField numFmtId="44" showAll="0"/>
    <pivotField showAll="0"/>
    <pivotField showAll="0"/>
    <pivotField showAll="0"/>
    <pivotField showAll="0"/>
    <pivotField showAll="0"/>
    <pivotField numFmtId="164" showAll="0"/>
    <pivotField numFmtId="164" showAll="0"/>
    <pivotField dataField="1" numFmtId="164" showAll="0"/>
    <pivotField showAll="0"/>
  </pivotFields>
  <rowItems count="1">
    <i/>
  </rowItems>
  <colItems count="1">
    <i/>
  </colItems>
  <dataFields count="1">
    <dataField name="Soma de Valor a Receber" fld="13" baseField="0" baseItem="0"/>
  </dataFields>
  <formats count="9">
    <format dxfId="28">
      <pivotArea type="all" dataOnly="0" outline="0" fieldPosition="0"/>
    </format>
    <format dxfId="27">
      <pivotArea outline="0" collapsedLevelsAreSubtotals="1" fieldPosition="0"/>
    </format>
    <format dxfId="26">
      <pivotArea dataOnly="0" labelOnly="1" outline="0" axis="axisValues" fieldPosition="0"/>
    </format>
    <format dxfId="25">
      <pivotArea type="all" dataOnly="0" outline="0" fieldPosition="0"/>
    </format>
    <format dxfId="24">
      <pivotArea outline="0" collapsedLevelsAreSubtotals="1" fieldPosition="0"/>
    </format>
    <format dxfId="23">
      <pivotArea dataOnly="0" labelOnly="1" outline="0" axis="axisValues" fieldPosition="0"/>
    </format>
    <format dxfId="22">
      <pivotArea type="all" dataOnly="0" outline="0" fieldPosition="0"/>
    </format>
    <format dxfId="21">
      <pivotArea outline="0" collapsedLevelsAreSubtotals="1" fieldPosition="0"/>
    </format>
    <format dxfId="20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B828C73-C1F7-4720-924D-7A57EF82D41F}" name="Tabela dinamica15" cacheId="12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BI3:BI4" firstHeaderRow="1" firstDataRow="1" firstDataCol="0" rowPageCount="1" colPageCount="1"/>
  <pivotFields count="15">
    <pivotField showAll="0"/>
    <pivotField multipleItemSelectionAllowed="1" showAll="0"/>
    <pivotField numFmtId="164" showAll="0"/>
    <pivotField showAll="0"/>
    <pivotField numFmtId="44" showAll="0"/>
    <pivotField numFmtId="44" showAll="0"/>
    <pivotField showAll="0"/>
    <pivotField showAll="0"/>
    <pivotField showAll="0"/>
    <pivotField showAll="0"/>
    <pivotField axis="axisPage" dataField="1" showAll="0">
      <items count="4">
        <item x="0"/>
        <item m="1" x="2"/>
        <item m="1" x="1"/>
        <item t="default"/>
      </items>
    </pivotField>
    <pivotField numFmtId="164" showAll="0"/>
    <pivotField numFmtId="164" showAll="0"/>
    <pivotField numFmtId="164" showAll="0"/>
    <pivotField showAll="0"/>
  </pivotFields>
  <rowItems count="1">
    <i/>
  </rowItems>
  <colItems count="1">
    <i/>
  </colItems>
  <pageFields count="1">
    <pageField fld="10" item="0" hier="-1"/>
  </pageFields>
  <dataFields count="1">
    <dataField name="Serviços em Andamento" fld="10" subtotal="count" baseField="0" baseItem="0" numFmtId="1"/>
  </dataFields>
  <formats count="11">
    <format dxfId="39">
      <pivotArea type="all" dataOnly="0" outline="0" fieldPosition="0"/>
    </format>
    <format dxfId="38">
      <pivotArea outline="0" collapsedLevelsAreSubtotals="1" fieldPosition="0"/>
    </format>
    <format dxfId="37">
      <pivotArea dataOnly="0" labelOnly="1" outline="0" axis="axisValues" fieldPosition="0"/>
    </format>
    <format dxfId="36">
      <pivotArea type="all" dataOnly="0" outline="0" fieldPosition="0"/>
    </format>
    <format dxfId="35">
      <pivotArea outline="0" collapsedLevelsAreSubtotals="1" fieldPosition="0"/>
    </format>
    <format dxfId="34">
      <pivotArea dataOnly="0" labelOnly="1" outline="0" axis="axisValues" fieldPosition="0"/>
    </format>
    <format dxfId="33">
      <pivotArea type="all" dataOnly="0" outline="0" fieldPosition="0"/>
    </format>
    <format dxfId="32">
      <pivotArea outline="0" collapsedLevelsAreSubtotals="1" fieldPosition="0"/>
    </format>
    <format dxfId="31">
      <pivotArea dataOnly="0" labelOnly="1" outline="0" axis="axisValues" fieldPosition="0"/>
    </format>
    <format dxfId="30">
      <pivotArea outline="0" collapsedLevelsAreSubtotals="1" fieldPosition="0"/>
    </format>
    <format dxfId="29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007FDF9-1255-4FDF-B580-7B381A73BCD0}" name="Tabela dinamica10" cacheId="12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AH1:AL3" firstHeaderRow="1" firstDataRow="2" firstDataCol="1"/>
  <pivotFields count="15">
    <pivotField showAll="0"/>
    <pivotField showAll="0"/>
    <pivotField numFmtId="164" showAll="0"/>
    <pivotField showAll="0"/>
    <pivotField numFmtId="44" showAll="0"/>
    <pivotField numFmtId="44" showAll="0"/>
    <pivotField showAll="0"/>
    <pivotField axis="axisCol" dataField="1" showAll="0" countASubtotal="1">
      <items count="10">
        <item m="1" x="7"/>
        <item m="1" x="4"/>
        <item m="1" x="6"/>
        <item m="1" x="5"/>
        <item m="1" x="8"/>
        <item x="0"/>
        <item m="1" x="3"/>
        <item x="1"/>
        <item x="2"/>
        <item t="countA"/>
      </items>
    </pivotField>
    <pivotField showAll="0"/>
    <pivotField showAll="0"/>
    <pivotField showAll="0"/>
    <pivotField numFmtId="164" showAll="0"/>
    <pivotField numFmtId="164" showAll="0"/>
    <pivotField numFmtId="164" showAll="0"/>
    <pivotField showAll="0"/>
  </pivotFields>
  <rowItems count="1">
    <i/>
  </rowItems>
  <colFields count="1">
    <field x="7"/>
  </colFields>
  <colItems count="4">
    <i>
      <x v="5"/>
    </i>
    <i>
      <x v="7"/>
    </i>
    <i>
      <x v="8"/>
    </i>
    <i t="grand">
      <x/>
    </i>
  </colItems>
  <dataFields count="1">
    <dataField name="Contagem de PCL's" fld="7" subtotal="count" baseField="6" baseItem="0" numFmtId="1"/>
  </dataFields>
  <formats count="28">
    <format dxfId="67">
      <pivotArea grandRow="1" outline="0" collapsedLevelsAreSubtotals="1" fieldPosition="0"/>
    </format>
    <format dxfId="66">
      <pivotArea grandRow="1" outline="0" collapsedLevelsAreSubtotals="1" fieldPosition="0"/>
    </format>
    <format dxfId="65">
      <pivotArea grandRow="1" outline="0" collapsedLevelsAreSubtotals="1" fieldPosition="0"/>
    </format>
    <format dxfId="64">
      <pivotArea grandRow="1" outline="0" collapsedLevelsAreSubtotals="1" fieldPosition="0"/>
    </format>
    <format dxfId="63">
      <pivotArea grandRow="1" outline="0" collapsedLevelsAreSubtotals="1" fieldPosition="0"/>
    </format>
    <format dxfId="62">
      <pivotArea grandRow="1" outline="0" collapsedLevelsAreSubtotals="1" fieldPosition="0"/>
    </format>
    <format dxfId="61">
      <pivotArea outline="0" collapsedLevelsAreSubtotals="1" fieldPosition="0"/>
    </format>
    <format dxfId="60">
      <pivotArea type="all" dataOnly="0" outline="0" fieldPosition="0"/>
    </format>
    <format dxfId="59">
      <pivotArea outline="0" collapsedLevelsAreSubtotals="1" fieldPosition="0"/>
    </format>
    <format dxfId="58">
      <pivotArea type="origin" dataOnly="0" labelOnly="1" outline="0" fieldPosition="0"/>
    </format>
    <format dxfId="57">
      <pivotArea dataOnly="0" labelOnly="1" outline="0" axis="axisValues" fieldPosition="0"/>
    </format>
    <format dxfId="56">
      <pivotArea field="7" type="button" dataOnly="0" labelOnly="1" outline="0" axis="axisCol" fieldPosition="0"/>
    </format>
    <format dxfId="55">
      <pivotArea type="topRight" dataOnly="0" labelOnly="1" outline="0" fieldPosition="0"/>
    </format>
    <format dxfId="54">
      <pivotArea type="all" dataOnly="0" outline="0" fieldPosition="0"/>
    </format>
    <format dxfId="53">
      <pivotArea outline="0" collapsedLevelsAreSubtotals="1" fieldPosition="0"/>
    </format>
    <format dxfId="52">
      <pivotArea type="origin" dataOnly="0" labelOnly="1" outline="0" fieldPosition="0"/>
    </format>
    <format dxfId="51">
      <pivotArea dataOnly="0" labelOnly="1" outline="0" axis="axisValues" fieldPosition="0"/>
    </format>
    <format dxfId="50">
      <pivotArea field="7" type="button" dataOnly="0" labelOnly="1" outline="0" axis="axisCol" fieldPosition="0"/>
    </format>
    <format dxfId="49">
      <pivotArea type="topRight" dataOnly="0" labelOnly="1" outline="0" fieldPosition="0"/>
    </format>
    <format dxfId="48">
      <pivotArea type="all" dataOnly="0" outline="0" fieldPosition="0"/>
    </format>
    <format dxfId="47">
      <pivotArea outline="0" collapsedLevelsAreSubtotals="1" fieldPosition="0"/>
    </format>
    <format dxfId="46">
      <pivotArea type="origin" dataOnly="0" labelOnly="1" outline="0" offset="A1" fieldPosition="0"/>
    </format>
    <format dxfId="45">
      <pivotArea dataOnly="0" labelOnly="1" outline="0" axis="axisValues" fieldPosition="0"/>
    </format>
    <format dxfId="44">
      <pivotArea field="7" type="button" dataOnly="0" labelOnly="1" outline="0" axis="axisCol" fieldPosition="0"/>
    </format>
    <format dxfId="43">
      <pivotArea type="topRight" dataOnly="0" labelOnly="1" outline="0" fieldPosition="0"/>
    </format>
    <format dxfId="42">
      <pivotArea type="origin" dataOnly="0" labelOnly="1" outline="0" offset="A2" fieldPosition="0"/>
    </format>
    <format dxfId="41">
      <pivotArea dataOnly="0" labelOnly="1" fieldPosition="0">
        <references count="1">
          <reference field="7" count="0"/>
        </references>
      </pivotArea>
    </format>
    <format dxfId="40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66401C1-3C12-42E6-B597-4341B861200B}" name="Tabela dinamica14" cacheId="5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BB1:BF3" firstHeaderRow="1" firstDataRow="2" firstDataCol="1"/>
  <pivotFields count="8">
    <pivotField showAll="0"/>
    <pivotField numFmtId="14" showAll="0"/>
    <pivotField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Col" dataField="1" showAll="0">
      <items count="7">
        <item x="1"/>
        <item x="0"/>
        <item n="Bianual" m="1" x="5"/>
        <item n="Bianual2" m="1" x="4"/>
        <item x="2"/>
        <item m="1" x="3"/>
        <item t="default"/>
      </items>
    </pivotField>
    <pivotField showAll="0"/>
    <pivotField showAll="0"/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6">
        <item x="0"/>
        <item x="1"/>
        <item x="2"/>
        <item x="3"/>
        <item x="4"/>
        <item t="default"/>
      </items>
    </pivotField>
  </pivotFields>
  <rowItems count="1">
    <i/>
  </rowItems>
  <colFields count="1">
    <field x="3"/>
  </colFields>
  <colItems count="4">
    <i>
      <x/>
    </i>
    <i>
      <x v="1"/>
    </i>
    <i>
      <x v="4"/>
    </i>
    <i t="grand">
      <x/>
    </i>
  </colItems>
  <dataFields count="1">
    <dataField name="Contagem de Modalidade" fld="3" subtotal="count" baseField="0" baseItem="0"/>
  </dataFields>
  <formats count="28">
    <format dxfId="95">
      <pivotArea outline="0" collapsedLevelsAreSubtotals="1" fieldPosition="0"/>
    </format>
    <format dxfId="94">
      <pivotArea outline="0" collapsedLevelsAreSubtotals="1" fieldPosition="0"/>
    </format>
    <format dxfId="93">
      <pivotArea outline="0" collapsedLevelsAreSubtotals="1" fieldPosition="0"/>
    </format>
    <format dxfId="92">
      <pivotArea outline="0" collapsedLevelsAreSubtotals="1" fieldPosition="0"/>
    </format>
    <format dxfId="91">
      <pivotArea outline="0" collapsedLevelsAreSubtotals="1" fieldPosition="0">
        <references count="1">
          <reference field="3" count="1" selected="0">
            <x v="0"/>
          </reference>
        </references>
      </pivotArea>
    </format>
    <format dxfId="90">
      <pivotArea outline="0" collapsedLevelsAreSubtotals="1" fieldPosition="0">
        <references count="1">
          <reference field="3" count="1" selected="0">
            <x v="1"/>
          </reference>
        </references>
      </pivotArea>
    </format>
    <format dxfId="89">
      <pivotArea outline="0" collapsedLevelsAreSubtotals="1" fieldPosition="0">
        <references count="1">
          <reference field="3" count="1" selected="0">
            <x v="2"/>
          </reference>
        </references>
      </pivotArea>
    </format>
    <format dxfId="88">
      <pivotArea type="all" dataOnly="0" outline="0" fieldPosition="0"/>
    </format>
    <format dxfId="87">
      <pivotArea outline="0" collapsedLevelsAreSubtotals="1" fieldPosition="0"/>
    </format>
    <format dxfId="86">
      <pivotArea type="origin" dataOnly="0" labelOnly="1" outline="0" offset="A1" fieldPosition="0"/>
    </format>
    <format dxfId="85">
      <pivotArea dataOnly="0" labelOnly="1" outline="0" axis="axisValues" fieldPosition="0"/>
    </format>
    <format dxfId="84">
      <pivotArea field="3" type="button" dataOnly="0" labelOnly="1" outline="0" axis="axisCol" fieldPosition="0"/>
    </format>
    <format dxfId="83">
      <pivotArea type="topRight" dataOnly="0" labelOnly="1" outline="0" fieldPosition="0"/>
    </format>
    <format dxfId="82">
      <pivotArea type="origin" dataOnly="0" labelOnly="1" outline="0" offset="A2" fieldPosition="0"/>
    </format>
    <format dxfId="81">
      <pivotArea dataOnly="0" labelOnly="1" fieldPosition="0">
        <references count="1">
          <reference field="3" count="0"/>
        </references>
      </pivotArea>
    </format>
    <format dxfId="80">
      <pivotArea dataOnly="0" labelOnly="1" grandCol="1" outline="0" fieldPosition="0"/>
    </format>
    <format dxfId="79">
      <pivotArea type="all" dataOnly="0" outline="0" fieldPosition="0"/>
    </format>
    <format dxfId="78">
      <pivotArea outline="0" collapsedLevelsAreSubtotals="1" fieldPosition="0"/>
    </format>
    <format dxfId="77">
      <pivotArea type="origin" dataOnly="0" labelOnly="1" outline="0" fieldPosition="0"/>
    </format>
    <format dxfId="76">
      <pivotArea dataOnly="0" labelOnly="1" outline="0" axis="axisValues" fieldPosition="0"/>
    </format>
    <format dxfId="75">
      <pivotArea field="3" type="button" dataOnly="0" labelOnly="1" outline="0" axis="axisCol" fieldPosition="0"/>
    </format>
    <format dxfId="74">
      <pivotArea type="topRight" dataOnly="0" labelOnly="1" outline="0" fieldPosition="0"/>
    </format>
    <format dxfId="73">
      <pivotArea type="all" dataOnly="0" outline="0" fieldPosition="0"/>
    </format>
    <format dxfId="72">
      <pivotArea outline="0" collapsedLevelsAreSubtotals="1" fieldPosition="0"/>
    </format>
    <format dxfId="71">
      <pivotArea type="origin" dataOnly="0" labelOnly="1" outline="0" fieldPosition="0"/>
    </format>
    <format dxfId="70">
      <pivotArea dataOnly="0" labelOnly="1" outline="0" axis="axisValues" fieldPosition="0"/>
    </format>
    <format dxfId="69">
      <pivotArea field="3" type="button" dataOnly="0" labelOnly="1" outline="0" axis="axisCol" fieldPosition="0"/>
    </format>
    <format dxfId="68">
      <pivotArea type="topRight" dataOnly="0" labelOnly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056E66B-CAFF-4E3B-87FF-64DF6061CB5B}" name="Tabela dinamica9" cacheId="12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AD1:AE3" firstHeaderRow="1" firstDataRow="1" firstDataCol="1"/>
  <pivotFields count="15">
    <pivotField showAll="0"/>
    <pivotField showAll="0"/>
    <pivotField numFmtId="164" showAll="0"/>
    <pivotField showAll="0"/>
    <pivotField numFmtId="44" showAll="0"/>
    <pivotField numFmtId="44" showAll="0"/>
    <pivotField showAll="0"/>
    <pivotField showAll="0"/>
    <pivotField showAll="0"/>
    <pivotField axis="axisRow" showAll="0">
      <items count="7">
        <item m="1" x="3"/>
        <item h="1" x="0"/>
        <item x="1"/>
        <item h="1" m="1" x="4"/>
        <item h="1" m="1" x="2"/>
        <item h="1" m="1" x="5"/>
        <item t="default"/>
      </items>
    </pivotField>
    <pivotField showAll="0"/>
    <pivotField dataField="1" numFmtId="164" showAll="0"/>
    <pivotField numFmtId="164" showAll="0"/>
    <pivotField numFmtId="164" showAll="0"/>
    <pivotField showAll="0"/>
  </pivotFields>
  <rowFields count="1">
    <field x="9"/>
  </rowFields>
  <rowItems count="2">
    <i>
      <x v="2"/>
    </i>
    <i t="grand">
      <x/>
    </i>
  </rowItems>
  <colItems count="1">
    <i/>
  </colItems>
  <dataFields count="1">
    <dataField name="Soma de Valor da PCL" fld="11" baseField="8" baseItem="0"/>
  </dataFields>
  <formats count="22">
    <format dxfId="117">
      <pivotArea grandRow="1" outline="0" collapsedLevelsAreSubtotals="1" fieldPosition="0"/>
    </format>
    <format dxfId="116">
      <pivotArea grandRow="1" outline="0" collapsedLevelsAreSubtotals="1" fieldPosition="0"/>
    </format>
    <format dxfId="115">
      <pivotArea grandRow="1" outline="0" collapsedLevelsAreSubtotals="1" fieldPosition="0"/>
    </format>
    <format dxfId="114">
      <pivotArea grandRow="1" outline="0" collapsedLevelsAreSubtotals="1" fieldPosition="0"/>
    </format>
    <format dxfId="113">
      <pivotArea type="all" dataOnly="0" outline="0" fieldPosition="0"/>
    </format>
    <format dxfId="112">
      <pivotArea outline="0" collapsedLevelsAreSubtotals="1" fieldPosition="0"/>
    </format>
    <format dxfId="111">
      <pivotArea field="9" type="button" dataOnly="0" labelOnly="1" outline="0" axis="axisRow" fieldPosition="0"/>
    </format>
    <format dxfId="110">
      <pivotArea dataOnly="0" labelOnly="1" fieldPosition="0">
        <references count="1">
          <reference field="9" count="0"/>
        </references>
      </pivotArea>
    </format>
    <format dxfId="109">
      <pivotArea dataOnly="0" labelOnly="1" grandRow="1" outline="0" fieldPosition="0"/>
    </format>
    <format dxfId="108">
      <pivotArea dataOnly="0" labelOnly="1" outline="0" axis="axisValues" fieldPosition="0"/>
    </format>
    <format dxfId="107">
      <pivotArea type="all" dataOnly="0" outline="0" fieldPosition="0"/>
    </format>
    <format dxfId="106">
      <pivotArea outline="0" collapsedLevelsAreSubtotals="1" fieldPosition="0"/>
    </format>
    <format dxfId="105">
      <pivotArea field="9" type="button" dataOnly="0" labelOnly="1" outline="0" axis="axisRow" fieldPosition="0"/>
    </format>
    <format dxfId="104">
      <pivotArea dataOnly="0" labelOnly="1" fieldPosition="0">
        <references count="1">
          <reference field="9" count="0"/>
        </references>
      </pivotArea>
    </format>
    <format dxfId="103">
      <pivotArea dataOnly="0" labelOnly="1" grandRow="1" outline="0" fieldPosition="0"/>
    </format>
    <format dxfId="102">
      <pivotArea dataOnly="0" labelOnly="1" outline="0" axis="axisValues" fieldPosition="0"/>
    </format>
    <format dxfId="101">
      <pivotArea type="all" dataOnly="0" outline="0" fieldPosition="0"/>
    </format>
    <format dxfId="100">
      <pivotArea outline="0" collapsedLevelsAreSubtotals="1" fieldPosition="0"/>
    </format>
    <format dxfId="99">
      <pivotArea field="9" type="button" dataOnly="0" labelOnly="1" outline="0" axis="axisRow" fieldPosition="0"/>
    </format>
    <format dxfId="98">
      <pivotArea dataOnly="0" labelOnly="1" fieldPosition="0">
        <references count="1">
          <reference field="9" count="0"/>
        </references>
      </pivotArea>
    </format>
    <format dxfId="97">
      <pivotArea dataOnly="0" labelOnly="1" grandRow="1" outline="0" fieldPosition="0"/>
    </format>
    <format dxfId="96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CC6ED4B-AA99-4449-B054-FADD99A83CBC}" name="Tabela dinamica3" cacheId="12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BS3:BS4" firstHeaderRow="1" firstDataRow="1" firstDataCol="0" rowPageCount="1" colPageCount="1"/>
  <pivotFields count="15">
    <pivotField showAll="0"/>
    <pivotField axis="axisPage" showAll="0">
      <items count="4">
        <item x="1"/>
        <item x="0"/>
        <item m="1" x="2"/>
        <item t="default"/>
      </items>
    </pivotField>
    <pivotField numFmtId="164" showAll="0"/>
    <pivotField showAll="0"/>
    <pivotField dataField="1" numFmtId="44" showAll="0"/>
    <pivotField numFmtId="44" showAll="0"/>
    <pivotField showAll="0"/>
    <pivotField showAll="0"/>
    <pivotField showAll="0"/>
    <pivotField showAll="0"/>
    <pivotField showAll="0"/>
    <pivotField numFmtId="164" showAll="0"/>
    <pivotField numFmtId="164" showAll="0"/>
    <pivotField numFmtId="164" showAll="0"/>
    <pivotField showAll="0"/>
  </pivotFields>
  <rowItems count="1">
    <i/>
  </rowItems>
  <colItems count="1">
    <i/>
  </colItems>
  <pageFields count="1">
    <pageField fld="1" item="0" hier="-1"/>
  </pageFields>
  <dataFields count="1">
    <dataField name="Valor Total dos Serviços_x000a_" fld="4" baseField="0" baseItem="0" numFmtId="164"/>
  </dataFields>
  <formats count="10">
    <format dxfId="127">
      <pivotArea type="all" dataOnly="0" outline="0" fieldPosition="0"/>
    </format>
    <format dxfId="126">
      <pivotArea outline="0" collapsedLevelsAreSubtotals="1" fieldPosition="0"/>
    </format>
    <format dxfId="125">
      <pivotArea dataOnly="0" labelOnly="1" outline="0" axis="axisValues" fieldPosition="0"/>
    </format>
    <format dxfId="124">
      <pivotArea type="all" dataOnly="0" outline="0" fieldPosition="0"/>
    </format>
    <format dxfId="123">
      <pivotArea outline="0" collapsedLevelsAreSubtotals="1" fieldPosition="0"/>
    </format>
    <format dxfId="122">
      <pivotArea dataOnly="0" labelOnly="1" outline="0" axis="axisValues" fieldPosition="0"/>
    </format>
    <format dxfId="121">
      <pivotArea type="all" dataOnly="0" outline="0" fieldPosition="0"/>
    </format>
    <format dxfId="120">
      <pivotArea outline="0" collapsedLevelsAreSubtotals="1" fieldPosition="0"/>
    </format>
    <format dxfId="119">
      <pivotArea dataOnly="0" labelOnly="1" outline="0" axis="axisValues" fieldPosition="0"/>
    </format>
    <format dxfId="118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0233598-83B9-441D-ADF8-7B98EEA1BDB4}" name="Tabela dinamica8" cacheId="12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Y3:Y4" firstHeaderRow="1" firstDataRow="1" firstDataCol="0" rowPageCount="1" colPageCount="1"/>
  <pivotFields count="15">
    <pivotField showAll="0"/>
    <pivotField axis="axisPage" multipleItemSelectionAllowed="1" showAll="0">
      <items count="4">
        <item x="1"/>
        <item h="1" x="0"/>
        <item h="1" m="1" x="2"/>
        <item t="default"/>
      </items>
    </pivotField>
    <pivotField numFmtId="164" showAll="0"/>
    <pivotField showAll="0"/>
    <pivotField numFmtId="44" showAll="0"/>
    <pivotField numFmtId="44" showAll="0"/>
    <pivotField showAll="0"/>
    <pivotField showAll="0"/>
    <pivotField showAll="0"/>
    <pivotField showAll="0"/>
    <pivotField showAll="0"/>
    <pivotField dataField="1" numFmtId="164" showAll="0"/>
    <pivotField numFmtId="164" showAll="0"/>
    <pivotField numFmtId="164" showAll="0"/>
    <pivotField showAll="0"/>
  </pivotFields>
  <rowItems count="1">
    <i/>
  </rowItems>
  <colItems count="1">
    <i/>
  </colItems>
  <pageFields count="1">
    <pageField fld="1" hier="-1"/>
  </pageFields>
  <dataFields count="1">
    <dataField name="Média de Valor da PCL" fld="11" subtotal="average" baseField="1" baseItem="0"/>
  </dataFields>
  <formats count="14">
    <format dxfId="141">
      <pivotArea type="all" dataOnly="0" outline="0" fieldPosition="0"/>
    </format>
    <format dxfId="140">
      <pivotArea outline="0" collapsedLevelsAreSubtotals="1" fieldPosition="0"/>
    </format>
    <format dxfId="139">
      <pivotArea dataOnly="0" labelOnly="1" grandRow="1" outline="0" fieldPosition="0"/>
    </format>
    <format dxfId="138">
      <pivotArea dataOnly="0" labelOnly="1" outline="0" axis="axisValues" fieldPosition="0"/>
    </format>
    <format dxfId="137">
      <pivotArea type="all" dataOnly="0" outline="0" fieldPosition="0"/>
    </format>
    <format dxfId="136">
      <pivotArea outline="0" collapsedLevelsAreSubtotals="1" fieldPosition="0"/>
    </format>
    <format dxfId="135">
      <pivotArea dataOnly="0" labelOnly="1" grandRow="1" outline="0" fieldPosition="0"/>
    </format>
    <format dxfId="134">
      <pivotArea dataOnly="0" labelOnly="1" outline="0" axis="axisValues" fieldPosition="0"/>
    </format>
    <format dxfId="133">
      <pivotArea type="all" dataOnly="0" outline="0" fieldPosition="0"/>
    </format>
    <format dxfId="132">
      <pivotArea outline="0" collapsedLevelsAreSubtotals="1" fieldPosition="0"/>
    </format>
    <format dxfId="131">
      <pivotArea dataOnly="0" labelOnly="1" grandRow="1" outline="0" fieldPosition="0"/>
    </format>
    <format dxfId="130">
      <pivotArea dataOnly="0" labelOnly="1" outline="0" axis="axisValues" fieldPosition="0"/>
    </format>
    <format dxfId="129">
      <pivotArea dataOnly="0" labelOnly="1" outline="0" fieldPosition="0">
        <references count="1">
          <reference field="1" count="0"/>
        </references>
      </pivotArea>
    </format>
    <format dxfId="128">
      <pivotArea field="1" type="button" dataOnly="0" labelOnly="1" outline="0" axis="axisPage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84BBAAD-7D13-4588-9E1B-4158EF0C4975}" name="Tabela dinamica11" cacheId="12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AO1:AT3" firstHeaderRow="1" firstDataRow="2" firstDataCol="1"/>
  <pivotFields count="15">
    <pivotField showAll="0"/>
    <pivotField showAll="0"/>
    <pivotField numFmtId="164" showAll="0"/>
    <pivotField showAll="0"/>
    <pivotField numFmtId="44" showAll="0"/>
    <pivotField numFmtId="44" showAll="0"/>
    <pivotField axis="axisCol" dataField="1" showAll="0">
      <items count="8">
        <item m="1" x="5"/>
        <item x="3"/>
        <item x="2"/>
        <item x="1"/>
        <item x="0"/>
        <item m="1" x="4"/>
        <item m="1" x="6"/>
        <item t="default"/>
      </items>
    </pivotField>
    <pivotField showAll="0" countASubtotal="1"/>
    <pivotField showAll="0"/>
    <pivotField showAll="0"/>
    <pivotField showAll="0"/>
    <pivotField numFmtId="164" showAll="0"/>
    <pivotField numFmtId="164" showAll="0"/>
    <pivotField numFmtId="164" showAll="0"/>
    <pivotField showAll="0"/>
  </pivotFields>
  <rowItems count="1">
    <i/>
  </rowItems>
  <colFields count="1">
    <field x="6"/>
  </colFields>
  <colItems count="5">
    <i>
      <x v="1"/>
    </i>
    <i>
      <x v="2"/>
    </i>
    <i>
      <x v="3"/>
    </i>
    <i>
      <x v="4"/>
    </i>
    <i t="grand">
      <x/>
    </i>
  </colItems>
  <dataFields count="1">
    <dataField name="Contagem de Forma de Pgto" fld="6" subtotal="count" baseField="0" baseItem="7532041"/>
  </dataFields>
  <formats count="28">
    <format dxfId="169">
      <pivotArea grandRow="1" outline="0" collapsedLevelsAreSubtotals="1" fieldPosition="0"/>
    </format>
    <format dxfId="168">
      <pivotArea grandRow="1" outline="0" collapsedLevelsAreSubtotals="1" fieldPosition="0"/>
    </format>
    <format dxfId="167">
      <pivotArea grandRow="1" outline="0" collapsedLevelsAreSubtotals="1" fieldPosition="0"/>
    </format>
    <format dxfId="166">
      <pivotArea grandRow="1" outline="0" collapsedLevelsAreSubtotals="1" fieldPosition="0"/>
    </format>
    <format dxfId="165">
      <pivotArea grandRow="1" outline="0" collapsedLevelsAreSubtotals="1" fieldPosition="0"/>
    </format>
    <format dxfId="164">
      <pivotArea grandRow="1" outline="0" collapsedLevelsAreSubtotals="1" fieldPosition="0"/>
    </format>
    <format dxfId="163">
      <pivotArea outline="0" collapsedLevelsAreSubtotals="1" fieldPosition="0"/>
    </format>
    <format dxfId="162">
      <pivotArea type="all" dataOnly="0" outline="0" fieldPosition="0"/>
    </format>
    <format dxfId="161">
      <pivotArea outline="0" collapsedLevelsAreSubtotals="1" fieldPosition="0"/>
    </format>
    <format dxfId="160">
      <pivotArea type="origin" dataOnly="0" labelOnly="1" outline="0" offset="A1" fieldPosition="0"/>
    </format>
    <format dxfId="159">
      <pivotArea dataOnly="0" labelOnly="1" outline="0" axis="axisValues" fieldPosition="0"/>
    </format>
    <format dxfId="158">
      <pivotArea field="6" type="button" dataOnly="0" labelOnly="1" outline="0" axis="axisCol" fieldPosition="0"/>
    </format>
    <format dxfId="157">
      <pivotArea type="topRight" dataOnly="0" labelOnly="1" outline="0" fieldPosition="0"/>
    </format>
    <format dxfId="156">
      <pivotArea type="origin" dataOnly="0" labelOnly="1" outline="0" offset="A2" fieldPosition="0"/>
    </format>
    <format dxfId="155">
      <pivotArea dataOnly="0" labelOnly="1" fieldPosition="0">
        <references count="1">
          <reference field="6" count="0"/>
        </references>
      </pivotArea>
    </format>
    <format dxfId="154">
      <pivotArea dataOnly="0" labelOnly="1" grandCol="1" outline="0" fieldPosition="0"/>
    </format>
    <format dxfId="153">
      <pivotArea type="all" dataOnly="0" outline="0" fieldPosition="0"/>
    </format>
    <format dxfId="152">
      <pivotArea outline="0" collapsedLevelsAreSubtotals="1" fieldPosition="0"/>
    </format>
    <format dxfId="151">
      <pivotArea type="origin" dataOnly="0" labelOnly="1" outline="0" fieldPosition="0"/>
    </format>
    <format dxfId="150">
      <pivotArea dataOnly="0" labelOnly="1" outline="0" axis="axisValues" fieldPosition="0"/>
    </format>
    <format dxfId="149">
      <pivotArea field="6" type="button" dataOnly="0" labelOnly="1" outline="0" axis="axisCol" fieldPosition="0"/>
    </format>
    <format dxfId="148">
      <pivotArea type="topRight" dataOnly="0" labelOnly="1" outline="0" fieldPosition="0"/>
    </format>
    <format dxfId="147">
      <pivotArea type="all" dataOnly="0" outline="0" fieldPosition="0"/>
    </format>
    <format dxfId="146">
      <pivotArea outline="0" collapsedLevelsAreSubtotals="1" fieldPosition="0"/>
    </format>
    <format dxfId="145">
      <pivotArea type="origin" dataOnly="0" labelOnly="1" outline="0" fieldPosition="0"/>
    </format>
    <format dxfId="144">
      <pivotArea dataOnly="0" labelOnly="1" outline="0" axis="axisValues" fieldPosition="0"/>
    </format>
    <format dxfId="143">
      <pivotArea field="6" type="button" dataOnly="0" labelOnly="1" outline="0" axis="axisCol" fieldPosition="0"/>
    </format>
    <format dxfId="142">
      <pivotArea type="topRight" dataOnly="0" labelOnly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CAEB142-A315-43BD-B058-97ECBDF42EC6}" name="Tabela dinamica12" cacheId="12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CE3:CF4" firstHeaderRow="0" firstDataRow="1" firstDataCol="0" rowPageCount="1" colPageCount="1"/>
  <pivotFields count="15">
    <pivotField showAll="0"/>
    <pivotField axis="axisPage" multipleItemSelectionAllowed="1" showAll="0">
      <items count="4">
        <item x="1"/>
        <item h="1" x="0"/>
        <item h="1" m="1" x="2"/>
        <item t="default"/>
      </items>
    </pivotField>
    <pivotField numFmtId="164" showAll="0"/>
    <pivotField showAll="0"/>
    <pivotField dataField="1" numFmtId="44" showAll="0"/>
    <pivotField numFmtId="44" showAll="0"/>
    <pivotField showAll="0"/>
    <pivotField showAll="0"/>
    <pivotField showAll="0"/>
    <pivotField showAll="0"/>
    <pivotField showAll="0"/>
    <pivotField numFmtId="164" showAll="0"/>
    <pivotField numFmtId="164" showAll="0"/>
    <pivotField dataField="1" numFmtId="164" showAll="0"/>
    <pivotField showAll="0"/>
  </pivotFields>
  <rowItems count="1">
    <i/>
  </rowItems>
  <colFields count="1">
    <field x="-2"/>
  </colFields>
  <colItems count="2">
    <i>
      <x/>
    </i>
    <i i="1">
      <x v="1"/>
    </i>
  </colItems>
  <pageFields count="1">
    <pageField fld="1" hier="-1"/>
  </pageFields>
  <dataFields count="2">
    <dataField name="Soma de Valor Final" fld="4" baseField="0" baseItem="0"/>
    <dataField name="Soma de Valor a Receber" fld="13" baseField="0" baseItem="0"/>
  </dataFields>
  <formats count="10">
    <format dxfId="179">
      <pivotArea type="all" dataOnly="0" outline="0" fieldPosition="0"/>
    </format>
    <format dxfId="178">
      <pivotArea outline="0" collapsedLevelsAreSubtotals="1" fieldPosition="0"/>
    </format>
    <format dxfId="177">
      <pivotArea dataOnly="0" labelOnly="1" outline="0" axis="axisValues" fieldPosition="0"/>
    </format>
    <format dxfId="176">
      <pivotArea type="all" dataOnly="0" outline="0" fieldPosition="0"/>
    </format>
    <format dxfId="175">
      <pivotArea outline="0" collapsedLevelsAreSubtotals="1" fieldPosition="0"/>
    </format>
    <format dxfId="174">
      <pivotArea dataOnly="0" labelOnly="1" outline="0" axis="axisValues" fieldPosition="0"/>
    </format>
    <format dxfId="173">
      <pivotArea type="all" dataOnly="0" outline="0" fieldPosition="0"/>
    </format>
    <format dxfId="172">
      <pivotArea outline="0" collapsedLevelsAreSubtotals="1" fieldPosition="0"/>
    </format>
    <format dxfId="171">
      <pivotArea dataOnly="0" labelOnly="1" outline="0" axis="axisValues" fieldPosition="0"/>
    </format>
    <format dxfId="170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8A51ADF-FD01-400E-AB95-7D7A838350BB}" name="Tabela dinamica7" cacheId="12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BV3:BV4" firstHeaderRow="1" firstDataRow="1" firstDataCol="0" rowPageCount="1" colPageCount="1"/>
  <pivotFields count="15">
    <pivotField showAll="0"/>
    <pivotField axis="axisPage" showAll="0">
      <items count="4">
        <item x="1"/>
        <item x="0"/>
        <item m="1" x="2"/>
        <item t="default"/>
      </items>
    </pivotField>
    <pivotField numFmtId="164" showAll="0"/>
    <pivotField showAll="0"/>
    <pivotField numFmtId="44" showAll="0"/>
    <pivotField dataField="1" numFmtId="44" showAll="0"/>
    <pivotField showAll="0"/>
    <pivotField showAll="0"/>
    <pivotField showAll="0"/>
    <pivotField showAll="0"/>
    <pivotField showAll="0"/>
    <pivotField numFmtId="164" showAll="0"/>
    <pivotField numFmtId="164" showAll="0"/>
    <pivotField numFmtId="164" showAll="0"/>
    <pivotField showAll="0"/>
  </pivotFields>
  <rowItems count="1">
    <i/>
  </rowItems>
  <colItems count="1">
    <i/>
  </colItems>
  <pageFields count="1">
    <pageField fld="1" item="0" hier="-1"/>
  </pageFields>
  <dataFields count="1">
    <dataField name="Soma Parcelamento por Mod. (Em adamento status financeiro)" fld="5" baseField="0" baseItem="0"/>
  </dataFields>
  <formats count="10">
    <format dxfId="189">
      <pivotArea type="all" dataOnly="0" outline="0" fieldPosition="0"/>
    </format>
    <format dxfId="188">
      <pivotArea outline="0" collapsedLevelsAreSubtotals="1" fieldPosition="0"/>
    </format>
    <format dxfId="187">
      <pivotArea dataOnly="0" labelOnly="1" outline="0" axis="axisValues" fieldPosition="0"/>
    </format>
    <format dxfId="186">
      <pivotArea type="all" dataOnly="0" outline="0" fieldPosition="0"/>
    </format>
    <format dxfId="185">
      <pivotArea outline="0" collapsedLevelsAreSubtotals="1" fieldPosition="0"/>
    </format>
    <format dxfId="184">
      <pivotArea dataOnly="0" labelOnly="1" outline="0" axis="axisValues" fieldPosition="0"/>
    </format>
    <format dxfId="183">
      <pivotArea type="all" dataOnly="0" outline="0" fieldPosition="0"/>
    </format>
    <format dxfId="182">
      <pivotArea outline="0" collapsedLevelsAreSubtotals="1" fieldPosition="0"/>
    </format>
    <format dxfId="181">
      <pivotArea dataOnly="0" labelOnly="1" outline="0" axis="axisValues" fieldPosition="0"/>
    </format>
    <format dxfId="180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C954A65-CE38-42DE-B049-EC06C707B35A}" name="Tabela dinamica1" cacheId="5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G1:G2" firstHeaderRow="1" firstDataRow="1" firstDataCol="0"/>
  <pivotFields count="8">
    <pivotField dataField="1" showAll="0"/>
    <pivotField numFmtId="14" showAll="0"/>
    <pivotField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/>
    <pivotField showAll="0"/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6">
        <item x="0"/>
        <item x="1"/>
        <item x="2"/>
        <item x="3"/>
        <item x="4"/>
        <item t="default"/>
      </items>
    </pivotField>
  </pivotFields>
  <rowItems count="1">
    <i/>
  </rowItems>
  <colItems count="1">
    <i/>
  </colItems>
  <dataFields count="1">
    <dataField name="Contagem de Nome" fld="0" subtotal="count" baseField="0" baseItem="0" numFmtId="1"/>
  </dataFields>
  <formats count="7">
    <format dxfId="196">
      <pivotArea outline="0" collapsedLevelsAreSubtotals="1" fieldPosition="0"/>
    </format>
    <format dxfId="195">
      <pivotArea outline="0" collapsedLevelsAreSubtotals="1" fieldPosition="0"/>
    </format>
    <format dxfId="194">
      <pivotArea outline="0" collapsedLevelsAreSubtotals="1" fieldPosition="0"/>
    </format>
    <format dxfId="193">
      <pivotArea outline="0" collapsedLevelsAreSubtotals="1" fieldPosition="0"/>
    </format>
    <format dxfId="192">
      <pivotArea type="all" dataOnly="0" outline="0" fieldPosition="0"/>
    </format>
    <format dxfId="191">
      <pivotArea outline="0" collapsedLevelsAreSubtotals="1" fieldPosition="0"/>
    </format>
    <format dxfId="190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80DBDB9-9A9C-4A33-A979-87B2FAC27A94}" name="Tabela dinamica2" cacheId="12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BZ3:BZ4" firstHeaderRow="1" firstDataRow="1" firstDataCol="0" rowPageCount="1" colPageCount="1"/>
  <pivotFields count="15">
    <pivotField showAll="0"/>
    <pivotField axis="axisPage" showAll="0">
      <items count="4">
        <item x="1"/>
        <item x="0"/>
        <item m="1" x="2"/>
        <item t="default"/>
      </items>
    </pivotField>
    <pivotField numFmtId="164" showAll="0"/>
    <pivotField showAll="0"/>
    <pivotField numFmtId="44" showAll="0"/>
    <pivotField numFmtId="44" showAll="0"/>
    <pivotField showAll="0"/>
    <pivotField showAll="0"/>
    <pivotField showAll="0"/>
    <pivotField showAll="0"/>
    <pivotField showAll="0"/>
    <pivotField dataField="1" numFmtId="164" showAll="0"/>
    <pivotField numFmtId="164" showAll="0"/>
    <pivotField numFmtId="164" showAll="0"/>
    <pivotField showAll="0"/>
  </pivotFields>
  <rowItems count="1">
    <i/>
  </rowItems>
  <colItems count="1">
    <i/>
  </colItems>
  <pageFields count="1">
    <pageField fld="1" item="0" hier="-1"/>
  </pageFields>
  <dataFields count="1">
    <dataField name="Total a Receber Neste Mês_x000a_" fld="11" baseField="0" baseItem="0"/>
  </dataFields>
  <formats count="10">
    <format dxfId="206">
      <pivotArea type="all" dataOnly="0" outline="0" fieldPosition="0"/>
    </format>
    <format dxfId="205">
      <pivotArea outline="0" collapsedLevelsAreSubtotals="1" fieldPosition="0"/>
    </format>
    <format dxfId="204">
      <pivotArea dataOnly="0" labelOnly="1" outline="0" axis="axisValues" fieldPosition="0"/>
    </format>
    <format dxfId="203">
      <pivotArea type="all" dataOnly="0" outline="0" fieldPosition="0"/>
    </format>
    <format dxfId="202">
      <pivotArea outline="0" collapsedLevelsAreSubtotals="1" fieldPosition="0"/>
    </format>
    <format dxfId="201">
      <pivotArea dataOnly="0" labelOnly="1" outline="0" axis="axisValues" fieldPosition="0"/>
    </format>
    <format dxfId="200">
      <pivotArea type="all" dataOnly="0" outline="0" fieldPosition="0"/>
    </format>
    <format dxfId="199">
      <pivotArea outline="0" collapsedLevelsAreSubtotals="1" fieldPosition="0"/>
    </format>
    <format dxfId="198">
      <pivotArea dataOnly="0" labelOnly="1" outline="0" axis="axisValues" fieldPosition="0"/>
    </format>
    <format dxfId="197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95E612F-F165-4D67-AC36-555CCB2E0BD2}" name="Tabela dinamica16" cacheId="5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BN1:BN2" firstHeaderRow="1" firstDataRow="1" firstDataCol="0"/>
  <pivotFields count="8">
    <pivotField showAll="0"/>
    <pivotField numFmtId="14" showAll="0"/>
    <pivotField dataField="1"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/>
    <pivotField showAll="0"/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6">
        <item x="0"/>
        <item x="1"/>
        <item x="2"/>
        <item x="3"/>
        <item x="4"/>
        <item t="default"/>
      </items>
    </pivotField>
  </pivotFields>
  <rowItems count="1">
    <i/>
  </rowItems>
  <colItems count="1">
    <i/>
  </colItems>
  <dataFields count="1">
    <dataField name="Máx. de Data/final" fld="2" subtotal="max" baseField="0" baseItem="7532041" numFmtId="165"/>
  </dataFields>
  <formats count="17">
    <format dxfId="223">
      <pivotArea outline="0" collapsedLevelsAreSubtotals="1" fieldPosition="0"/>
    </format>
    <format dxfId="222">
      <pivotArea outline="0" collapsedLevelsAreSubtotals="1" fieldPosition="0"/>
    </format>
    <format dxfId="221">
      <pivotArea outline="0" collapsedLevelsAreSubtotals="1" fieldPosition="0"/>
    </format>
    <format dxfId="220">
      <pivotArea outline="0" collapsedLevelsAreSubtotals="1" fieldPosition="0"/>
    </format>
    <format dxfId="219">
      <pivotArea outline="0" collapsedLevelsAreSubtotals="1" fieldPosition="0"/>
    </format>
    <format dxfId="218">
      <pivotArea type="all" dataOnly="0" outline="0" fieldPosition="0"/>
    </format>
    <format dxfId="217">
      <pivotArea outline="0" collapsedLevelsAreSubtotals="1" fieldPosition="0"/>
    </format>
    <format dxfId="216">
      <pivotArea dataOnly="0" labelOnly="1" outline="0" axis="axisValues" fieldPosition="0"/>
    </format>
    <format dxfId="215">
      <pivotArea type="all" dataOnly="0" outline="0" fieldPosition="0"/>
    </format>
    <format dxfId="214">
      <pivotArea outline="0" collapsedLevelsAreSubtotals="1" fieldPosition="0"/>
    </format>
    <format dxfId="213">
      <pivotArea dataOnly="0" labelOnly="1" outline="0" axis="axisValues" fieldPosition="0"/>
    </format>
    <format dxfId="212">
      <pivotArea type="all" dataOnly="0" outline="0" fieldPosition="0"/>
    </format>
    <format dxfId="211">
      <pivotArea outline="0" collapsedLevelsAreSubtotals="1" fieldPosition="0"/>
    </format>
    <format dxfId="210">
      <pivotArea dataOnly="0" labelOnly="1" outline="0" axis="axisValues" fieldPosition="0"/>
    </format>
    <format dxfId="209">
      <pivotArea type="all" dataOnly="0" outline="0" fieldPosition="0"/>
    </format>
    <format dxfId="208">
      <pivotArea outline="0" collapsedLevelsAreSubtotals="1" fieldPosition="0"/>
    </format>
    <format dxfId="207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E90D8DD-8E44-45E3-B6A4-B0AD3CDBE45D}" name="Tabela dinamica5" cacheId="12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P1:Q3" firstHeaderRow="1" firstDataRow="1" firstDataCol="1"/>
  <pivotFields count="15">
    <pivotField showAll="0"/>
    <pivotField showAll="0"/>
    <pivotField numFmtId="164" showAll="0"/>
    <pivotField showAll="0"/>
    <pivotField numFmtId="44" showAll="0"/>
    <pivotField numFmtId="44" showAll="0"/>
    <pivotField showAll="0"/>
    <pivotField showAll="0"/>
    <pivotField showAll="0"/>
    <pivotField axis="axisRow" dataField="1" showAll="0">
      <items count="7">
        <item x="1"/>
        <item h="1" m="1" x="3"/>
        <item h="1" m="1" x="4"/>
        <item h="1" x="0"/>
        <item h="1" m="1" x="2"/>
        <item h="1" m="1" x="5"/>
        <item t="default"/>
      </items>
    </pivotField>
    <pivotField showAll="0"/>
    <pivotField numFmtId="164" showAll="0"/>
    <pivotField numFmtId="164" showAll="0"/>
    <pivotField numFmtId="164" showAll="0"/>
    <pivotField showAll="0"/>
  </pivotFields>
  <rowFields count="1">
    <field x="9"/>
  </rowFields>
  <rowItems count="2">
    <i>
      <x/>
    </i>
    <i t="grand">
      <x/>
    </i>
  </rowItems>
  <colItems count="1">
    <i/>
  </colItems>
  <dataFields count="1">
    <dataField name="Contagem de Status de Pgto" fld="9" subtotal="count" baseField="0" baseItem="0"/>
  </dataFields>
  <formats count="26">
    <format dxfId="249">
      <pivotArea collapsedLevelsAreSubtotals="1" fieldPosition="0">
        <references count="1">
          <reference field="9" count="0"/>
        </references>
      </pivotArea>
    </format>
    <format dxfId="248">
      <pivotArea collapsedLevelsAreSubtotals="1" fieldPosition="0">
        <references count="1">
          <reference field="9" count="0"/>
        </references>
      </pivotArea>
    </format>
    <format dxfId="247">
      <pivotArea collapsedLevelsAreSubtotals="1" fieldPosition="0">
        <references count="1">
          <reference field="9" count="0"/>
        </references>
      </pivotArea>
    </format>
    <format dxfId="246">
      <pivotArea collapsedLevelsAreSubtotals="1" fieldPosition="0">
        <references count="1">
          <reference field="9" count="0"/>
        </references>
      </pivotArea>
    </format>
    <format dxfId="245">
      <pivotArea collapsedLevelsAreSubtotals="1" fieldPosition="0">
        <references count="1">
          <reference field="9" count="0"/>
        </references>
      </pivotArea>
    </format>
    <format dxfId="244">
      <pivotArea collapsedLevelsAreSubtotals="1" fieldPosition="0">
        <references count="1">
          <reference field="9" count="0"/>
        </references>
      </pivotArea>
    </format>
    <format dxfId="243">
      <pivotArea collapsedLevelsAreSubtotals="1" fieldPosition="0">
        <references count="1">
          <reference field="9" count="0"/>
        </references>
      </pivotArea>
    </format>
    <format dxfId="242">
      <pivotArea collapsedLevelsAreSubtotals="1" fieldPosition="0">
        <references count="1">
          <reference field="9" count="0"/>
        </references>
      </pivotArea>
    </format>
    <format dxfId="241">
      <pivotArea type="all" dataOnly="0" outline="0" fieldPosition="0"/>
    </format>
    <format dxfId="240">
      <pivotArea outline="0" collapsedLevelsAreSubtotals="1" fieldPosition="0"/>
    </format>
    <format dxfId="239">
      <pivotArea field="9" type="button" dataOnly="0" labelOnly="1" outline="0" axis="axisRow" fieldPosition="0"/>
    </format>
    <format dxfId="238">
      <pivotArea dataOnly="0" labelOnly="1" fieldPosition="0">
        <references count="1">
          <reference field="9" count="0"/>
        </references>
      </pivotArea>
    </format>
    <format dxfId="237">
      <pivotArea dataOnly="0" labelOnly="1" grandRow="1" outline="0" fieldPosition="0"/>
    </format>
    <format dxfId="236">
      <pivotArea dataOnly="0" labelOnly="1" outline="0" axis="axisValues" fieldPosition="0"/>
    </format>
    <format dxfId="235">
      <pivotArea type="all" dataOnly="0" outline="0" fieldPosition="0"/>
    </format>
    <format dxfId="234">
      <pivotArea outline="0" collapsedLevelsAreSubtotals="1" fieldPosition="0"/>
    </format>
    <format dxfId="233">
      <pivotArea field="9" type="button" dataOnly="0" labelOnly="1" outline="0" axis="axisRow" fieldPosition="0"/>
    </format>
    <format dxfId="232">
      <pivotArea dataOnly="0" labelOnly="1" fieldPosition="0">
        <references count="1">
          <reference field="9" count="0"/>
        </references>
      </pivotArea>
    </format>
    <format dxfId="231">
      <pivotArea dataOnly="0" labelOnly="1" grandRow="1" outline="0" fieldPosition="0"/>
    </format>
    <format dxfId="230">
      <pivotArea dataOnly="0" labelOnly="1" outline="0" axis="axisValues" fieldPosition="0"/>
    </format>
    <format dxfId="229">
      <pivotArea type="all" dataOnly="0" outline="0" fieldPosition="0"/>
    </format>
    <format dxfId="228">
      <pivotArea outline="0" collapsedLevelsAreSubtotals="1" fieldPosition="0"/>
    </format>
    <format dxfId="227">
      <pivotArea field="9" type="button" dataOnly="0" labelOnly="1" outline="0" axis="axisRow" fieldPosition="0"/>
    </format>
    <format dxfId="226">
      <pivotArea dataOnly="0" labelOnly="1" fieldPosition="0">
        <references count="1">
          <reference field="9" count="0"/>
        </references>
      </pivotArea>
    </format>
    <format dxfId="225">
      <pivotArea dataOnly="0" labelOnly="1" grandRow="1" outline="0" fieldPosition="0"/>
    </format>
    <format dxfId="224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D8537EF-DEF5-498B-B4EA-69BF8FA9357E}" name="Tabela dinamica4" cacheId="12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K1:L2" firstHeaderRow="1" firstDataRow="1" firstDataCol="1"/>
  <pivotFields count="15">
    <pivotField showAll="0"/>
    <pivotField showAll="0"/>
    <pivotField numFmtId="164" showAll="0"/>
    <pivotField showAll="0"/>
    <pivotField numFmtId="44" showAll="0"/>
    <pivotField numFmtId="44" showAll="0"/>
    <pivotField showAll="0"/>
    <pivotField showAll="0"/>
    <pivotField showAll="0"/>
    <pivotField axis="axisRow" dataField="1" showAll="0">
      <items count="7">
        <item h="1" x="1"/>
        <item m="1" x="3"/>
        <item h="1" m="1" x="4"/>
        <item h="1" x="0"/>
        <item h="1" m="1" x="2"/>
        <item h="1" m="1" x="5"/>
        <item t="default"/>
      </items>
    </pivotField>
    <pivotField showAll="0"/>
    <pivotField numFmtId="164" showAll="0"/>
    <pivotField numFmtId="164" showAll="0"/>
    <pivotField numFmtId="164" showAll="0"/>
    <pivotField showAll="0"/>
  </pivotFields>
  <rowFields count="1">
    <field x="9"/>
  </rowFields>
  <rowItems count="1">
    <i t="grand">
      <x/>
    </i>
  </rowItems>
  <colItems count="1">
    <i/>
  </colItems>
  <dataFields count="1">
    <dataField name="Contagem de Status de Pgto" fld="9" subtotal="count" baseField="0" baseItem="0"/>
  </dataFields>
  <formats count="12">
    <format dxfId="261">
      <pivotArea dataOnly="0" labelOnly="1" fieldPosition="0">
        <references count="1">
          <reference field="9" count="0"/>
        </references>
      </pivotArea>
    </format>
    <format dxfId="260">
      <pivotArea dataOnly="0" labelOnly="1" fieldPosition="0">
        <references count="1">
          <reference field="9" count="0"/>
        </references>
      </pivotArea>
    </format>
    <format dxfId="259">
      <pivotArea dataOnly="0" labelOnly="1" fieldPosition="0">
        <references count="1">
          <reference field="9" count="0"/>
        </references>
      </pivotArea>
    </format>
    <format dxfId="258">
      <pivotArea dataOnly="0" labelOnly="1" fieldPosition="0">
        <references count="1">
          <reference field="9" count="0"/>
        </references>
      </pivotArea>
    </format>
    <format dxfId="257">
      <pivotArea dataOnly="0" labelOnly="1" fieldPosition="0">
        <references count="1">
          <reference field="9" count="0"/>
        </references>
      </pivotArea>
    </format>
    <format dxfId="256">
      <pivotArea collapsedLevelsAreSubtotals="1" fieldPosition="0">
        <references count="1">
          <reference field="9" count="0"/>
        </references>
      </pivotArea>
    </format>
    <format dxfId="255">
      <pivotArea collapsedLevelsAreSubtotals="1" fieldPosition="0">
        <references count="1">
          <reference field="9" count="0"/>
        </references>
      </pivotArea>
    </format>
    <format dxfId="254">
      <pivotArea type="all" dataOnly="0" outline="0" fieldPosition="0"/>
    </format>
    <format dxfId="253">
      <pivotArea outline="0" collapsedLevelsAreSubtotals="1" fieldPosition="0"/>
    </format>
    <format dxfId="252">
      <pivotArea field="9" type="button" dataOnly="0" labelOnly="1" outline="0" axis="axisRow" fieldPosition="0"/>
    </format>
    <format dxfId="251">
      <pivotArea dataOnly="0" labelOnly="1" grandRow="1" outline="0" fieldPosition="0"/>
    </format>
    <format dxfId="250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29422BE-D01A-4094-BCE9-A73862CB76B7}" name="Tabela6" displayName="Tabela6" ref="C12:H35" totalsRowShown="0" headerRowDxfId="298" dataDxfId="297">
  <autoFilter ref="C12:H35" xr:uid="{CD7F786E-131C-47B7-AF88-867CD5DE11B3}"/>
  <sortState xmlns:xlrd2="http://schemas.microsoft.com/office/spreadsheetml/2017/richdata2" ref="C13:H35">
    <sortCondition ref="D12:D35"/>
  </sortState>
  <tableColumns count="6">
    <tableColumn id="1" xr3:uid="{C39EECA0-E09F-4095-AA98-66F3513E43BE}" name="Nome" dataDxfId="296"/>
    <tableColumn id="2" xr3:uid="{B2A50F90-528C-4FB4-80F7-61F749DFDEA6}" name="Data/ínicio" dataDxfId="295"/>
    <tableColumn id="3" xr3:uid="{DADBDBC9-FC8B-48E0-B381-B97510576173}" name="Data/final" dataDxfId="294">
      <calculatedColumnFormula>IF(F13="Bimestral",D13+(30*2),IF(F13="Bienal",D13+(30*24),IF(F13="Semestral",D13+(30*6),IF(F13="Anual",D13+(30*12),""))))</calculatedColumnFormula>
    </tableColumn>
    <tableColumn id="4" xr3:uid="{BAF4203E-EAB0-4EE6-90C4-2858B47E116D}" name="Modalidade" dataDxfId="293"/>
    <tableColumn id="6" xr3:uid="{E055628C-4286-4E02-A7D2-EEBC814F40C8}" name="Data/conteúdo" dataDxfId="292"/>
    <tableColumn id="7" xr3:uid="{A0E67719-0A7A-4FAD-8821-467D004FBD97}" name="Status do Serviço" dataDxfId="291">
      <calculatedColumnFormula>VLOOKUP(Tabela6[[#This Row],[Nome]],Tabela62[#All],2,FALSE)</calculatedColumnFormula>
    </tableColumn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E354503-8887-4822-A37E-834DA1983412}" name="Tabela62" displayName="Tabela62" ref="C12:Q35" totalsRowShown="0" headerRowDxfId="277">
  <autoFilter ref="C12:Q35" xr:uid="{E6862065-06C1-4D60-A179-A2AA3325AA9B}"/>
  <sortState xmlns:xlrd2="http://schemas.microsoft.com/office/spreadsheetml/2017/richdata2" ref="C13:Q35">
    <sortCondition ref="Q12:Q35"/>
  </sortState>
  <tableColumns count="15">
    <tableColumn id="1" xr3:uid="{9873DDA3-F6CE-4CE2-B1E8-363D80F3EDAF}" name="Nome" dataDxfId="276"/>
    <tableColumn id="10" xr3:uid="{38569865-F96E-4441-9133-405D904973C8}" name="Status Fin." dataDxfId="275">
      <calculatedColumnFormula>IF(AND(Tabela62[[#This Row],[Status de Pgto]]="Concluído",Tabela62[[#This Row],[Status do Serviço]]="Concluído"),"Concluído",IF(O13="","",IF(G13=O13,"Finalizado","Em Andamento")))</calculatedColumnFormula>
    </tableColumn>
    <tableColumn id="2" xr3:uid="{C752F17E-55E1-4DE5-B292-279AA292ED3F}" name="Valor Total" dataDxfId="274" dataCellStyle="Moeda"/>
    <tableColumn id="24" xr3:uid="{92D668AD-3063-4B9C-A09A-EA7BF1C37CDF}" name="Desconto" dataDxfId="273"/>
    <tableColumn id="25" xr3:uid="{0EC0CD3C-79EF-4AEC-875B-0268FB0B49D6}" name="Valor Final" dataDxfId="272">
      <calculatedColumnFormula>Tabela62[[#This Row],[Valor Total]]*(1-Tabela62[[#This Row],[Desconto]])</calculatedColumnFormula>
    </tableColumn>
    <tableColumn id="26" xr3:uid="{89FEAFC1-4389-486F-AA2A-C3E54467E7D6}" name="Val. Méd. PCL" dataDxfId="271">
      <calculatedColumnFormula>(SUMIFS(Tabela62[[#This Row],[Valor Final]],Tabela6[[#This Row],[Modalidade]],"Semestral")/6) + (SUMIFS(Tabela62[[#This Row],[Valor Final]],Tabela6[[#This Row],[Modalidade]],"Anual")/12) + (SUMIFS(Tabela62[[#This Row],[Valor Final]],Tabela6[[#This Row],[Modalidade]],"Bienal")/24)</calculatedColumnFormula>
    </tableColumn>
    <tableColumn id="3" xr3:uid="{BBFFB862-6B0F-490C-953E-C722425DD65B}" name="Forma de Pgto" dataDxfId="270"/>
    <tableColumn id="4" xr3:uid="{66BE9D55-FDFB-46D7-951B-FB709E60492B}" name="PCL's" dataDxfId="269"/>
    <tableColumn id="5" xr3:uid="{8D42317C-6C8D-430F-8DE2-BA56CC892136}" name="PCL Atual" dataDxfId="268"/>
    <tableColumn id="15" xr3:uid="{60723055-81B8-4E4F-8C90-F185B613C8D0}" name="Status de Pgto" dataDxfId="267"/>
    <tableColumn id="28" xr3:uid="{F52A9A8C-8554-4B4E-89F9-47D8C945038A}" name="Status do Serviço" dataDxfId="266"/>
    <tableColumn id="12" xr3:uid="{8C281473-74A6-4729-93BD-0599401EA091}" name="Valor da PCL" dataDxfId="265">
      <calculatedColumnFormula>IF(G13="","",G13/J13)</calculatedColumnFormula>
    </tableColumn>
    <tableColumn id="6" xr3:uid="{B6304D4C-FEC8-4292-A50A-B5C5FD7B9445}" name="Valor Pago" dataDxfId="264">
      <calculatedColumnFormula>IF(L13="Pendente",(K13-1)*N13,IF(OR(L13="PAGO",L13="Concluído"),K13*N13,(K13-1)*N13))</calculatedColumnFormula>
    </tableColumn>
    <tableColumn id="7" xr3:uid="{D857F278-D1A6-4FD4-9BBD-D3A9A886E3B5}" name="Valor a Receber" dataDxfId="263">
      <calculatedColumnFormula>IF(OR(N13="",O13=""),"",G13-Tabela62[[#This Row],[Valor Pago]])</calculatedColumnFormula>
    </tableColumn>
    <tableColumn id="11" xr3:uid="{BF6CEEE7-14ED-4033-823E-738EA1E9B86D}" name="Data/ínicio" dataDxfId="262">
      <calculatedColumnFormula>VLOOKUP(Tabela62[[#This Row],[Nome]],Tabela6[[#All],[Nome]:[Data/conteúdo]],2,FALSE)</calculatedColumnFormula>
    </tableColumn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pivotTable" Target="../pivotTables/pivotTable13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pivotTable" Target="../pivotTables/pivotTable12.xml"/><Relationship Id="rId17" Type="http://schemas.openxmlformats.org/officeDocument/2006/relationships/printerSettings" Target="../printerSettings/printerSettings4.bin"/><Relationship Id="rId2" Type="http://schemas.openxmlformats.org/officeDocument/2006/relationships/pivotTable" Target="../pivotTables/pivotTable2.xml"/><Relationship Id="rId16" Type="http://schemas.openxmlformats.org/officeDocument/2006/relationships/pivotTable" Target="../pivotTables/pivotTable16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5" Type="http://schemas.openxmlformats.org/officeDocument/2006/relationships/pivotTable" Target="../pivotTables/pivotTable5.xml"/><Relationship Id="rId15" Type="http://schemas.openxmlformats.org/officeDocument/2006/relationships/pivotTable" Target="../pivotTables/pivotTable15.xml"/><Relationship Id="rId10" Type="http://schemas.openxmlformats.org/officeDocument/2006/relationships/pivotTable" Target="../pivotTables/pivot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Relationship Id="rId14" Type="http://schemas.openxmlformats.org/officeDocument/2006/relationships/pivotTable" Target="../pivotTables/pivotTable1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7DBD81-7F56-44DB-AA9A-44E2B394A99B}">
  <sheetPr codeName="Planilha1"/>
  <dimension ref="B1:Q35"/>
  <sheetViews>
    <sheetView showGridLines="0" tabSelected="1" zoomScaleNormal="100" workbookViewId="0">
      <pane ySplit="12" topLeftCell="A13" activePane="bottomLeft" state="frozen"/>
      <selection pane="bottomLeft"/>
    </sheetView>
  </sheetViews>
  <sheetFormatPr defaultColWidth="8.85546875" defaultRowHeight="15" x14ac:dyDescent="0.25"/>
  <cols>
    <col min="1" max="1" width="1.140625" customWidth="1"/>
    <col min="2" max="2" width="2.85546875" customWidth="1"/>
    <col min="3" max="3" width="28.140625" customWidth="1"/>
    <col min="4" max="4" width="19.42578125" customWidth="1"/>
    <col min="5" max="5" width="16.7109375" customWidth="1"/>
    <col min="6" max="6" width="22.42578125" customWidth="1"/>
    <col min="7" max="7" width="18.140625" customWidth="1"/>
    <col min="8" max="8" width="20.7109375" hidden="1" customWidth="1"/>
    <col min="9" max="9" width="9.28515625" customWidth="1"/>
    <col min="10" max="10" width="10.42578125" customWidth="1"/>
    <col min="11" max="11" width="9.28515625" customWidth="1"/>
    <col min="12" max="12" width="11.42578125" customWidth="1"/>
    <col min="13" max="13" width="5.7109375" customWidth="1"/>
    <col min="14" max="14" width="2.85546875" customWidth="1"/>
    <col min="20" max="21" width="9.140625" customWidth="1"/>
  </cols>
  <sheetData>
    <row r="1" spans="2:17" ht="3.75" hidden="1" customHeight="1" x14ac:dyDescent="0.25"/>
    <row r="2" spans="2:17" s="23" customFormat="1" x14ac:dyDescent="0.25">
      <c r="B2" s="24"/>
      <c r="C2" s="24"/>
      <c r="D2" s="24"/>
      <c r="E2" s="24"/>
      <c r="F2" s="24"/>
      <c r="G2" s="24"/>
      <c r="H2" s="24"/>
      <c r="I2" s="24"/>
      <c r="J2" s="24"/>
      <c r="K2" s="24"/>
      <c r="L2" s="24"/>
      <c r="M2" s="24"/>
      <c r="N2" s="24"/>
    </row>
    <row r="3" spans="2:17" ht="15" customHeight="1" x14ac:dyDescent="0.25">
      <c r="B3" s="28"/>
      <c r="C3" s="1"/>
      <c r="D3" s="6"/>
      <c r="E3" s="6"/>
      <c r="F3" s="6"/>
      <c r="G3" s="6"/>
      <c r="H3" s="6"/>
      <c r="I3" s="6"/>
      <c r="J3" s="6"/>
      <c r="K3" s="6"/>
      <c r="L3" s="7"/>
      <c r="M3" s="7"/>
      <c r="N3" s="21"/>
      <c r="O3" s="3"/>
      <c r="P3" s="3"/>
      <c r="Q3" s="3"/>
    </row>
    <row r="4" spans="2:17" ht="15" customHeight="1" x14ac:dyDescent="0.25">
      <c r="B4" s="28"/>
      <c r="C4" s="1"/>
      <c r="D4" s="110" t="s">
        <v>1</v>
      </c>
      <c r="E4" s="110"/>
      <c r="F4" s="110"/>
      <c r="G4" s="111" t="s">
        <v>93</v>
      </c>
      <c r="H4" s="111"/>
      <c r="I4" s="111"/>
      <c r="J4" s="111"/>
      <c r="K4" s="111"/>
      <c r="L4" s="111"/>
      <c r="M4" s="8"/>
      <c r="N4" s="21"/>
      <c r="O4" s="3"/>
      <c r="P4" s="3"/>
      <c r="Q4" s="3"/>
    </row>
    <row r="5" spans="2:17" ht="15" customHeight="1" x14ac:dyDescent="0.25">
      <c r="B5" s="28"/>
      <c r="C5" s="1"/>
      <c r="D5" s="110"/>
      <c r="E5" s="110"/>
      <c r="F5" s="110"/>
      <c r="G5" s="111"/>
      <c r="H5" s="111"/>
      <c r="I5" s="111"/>
      <c r="J5" s="111"/>
      <c r="K5" s="111"/>
      <c r="L5" s="111"/>
      <c r="M5" s="8"/>
      <c r="N5" s="21"/>
      <c r="O5" s="3"/>
      <c r="P5" s="3"/>
      <c r="Q5" s="3"/>
    </row>
    <row r="6" spans="2:17" ht="15" customHeight="1" x14ac:dyDescent="0.25">
      <c r="B6" s="28"/>
      <c r="C6" s="1"/>
      <c r="D6" s="6"/>
      <c r="E6" s="6"/>
      <c r="F6" s="6"/>
      <c r="G6" s="6"/>
      <c r="H6" s="6"/>
      <c r="I6" s="6"/>
      <c r="J6" s="6"/>
      <c r="K6" s="6"/>
      <c r="L6" s="7"/>
      <c r="M6" s="7"/>
      <c r="N6" s="21"/>
      <c r="O6" s="3"/>
      <c r="P6" s="3"/>
      <c r="Q6" s="3"/>
    </row>
    <row r="7" spans="2:17" s="23" customFormat="1" x14ac:dyDescent="0.25">
      <c r="B7" s="24"/>
      <c r="C7" s="24"/>
      <c r="D7" s="24"/>
      <c r="E7" s="24"/>
      <c r="F7" s="24"/>
      <c r="G7" s="24"/>
      <c r="H7" s="24"/>
      <c r="I7" s="24"/>
      <c r="J7" s="24"/>
      <c r="K7" s="24"/>
      <c r="L7" s="24"/>
      <c r="M7" s="24"/>
      <c r="N7" s="24"/>
    </row>
    <row r="9" spans="2:17" x14ac:dyDescent="0.25">
      <c r="I9" s="5"/>
    </row>
    <row r="12" spans="2:17" x14ac:dyDescent="0.25">
      <c r="C12" s="4" t="s">
        <v>0</v>
      </c>
      <c r="D12" s="10" t="s">
        <v>5</v>
      </c>
      <c r="E12" s="10" t="s">
        <v>6</v>
      </c>
      <c r="F12" s="4" t="s">
        <v>2</v>
      </c>
      <c r="G12" s="4" t="s">
        <v>4</v>
      </c>
      <c r="H12" s="4" t="s">
        <v>53</v>
      </c>
      <c r="I12" s="9"/>
      <c r="J12" s="9"/>
      <c r="K12" s="9"/>
      <c r="L12" s="9"/>
      <c r="M12" s="9"/>
    </row>
    <row r="13" spans="2:17" x14ac:dyDescent="0.25">
      <c r="C13" s="13" t="s">
        <v>34</v>
      </c>
      <c r="D13" s="17">
        <v>44174</v>
      </c>
      <c r="E13" s="78">
        <f>IF(F13="Bimestral",D13+(30*2),IF(F13="Bienal",D13+(30*24),IF(F13="Semestral",D13+(30*6),IF(F13="Anual",D13+(30*12),""))))</f>
        <v>44354</v>
      </c>
      <c r="F13" s="12" t="s">
        <v>8</v>
      </c>
      <c r="G13" s="12"/>
      <c r="H13" s="12" t="str">
        <f>VLOOKUP(Tabela6[[#This Row],[Nome]],Tabela62[#All],2,FALSE)</f>
        <v>Finalizado</v>
      </c>
    </row>
    <row r="14" spans="2:17" x14ac:dyDescent="0.25">
      <c r="C14" s="13" t="s">
        <v>39</v>
      </c>
      <c r="D14" s="17">
        <v>44176</v>
      </c>
      <c r="E14" s="17">
        <f>IF(F14="Bimestral",D14+(30*2),IF(F14="Bienal",D14+(30*24),IF(F14="Semestral",D14+(30*6),IF(F14="Anual",D14+(30*12),""))))</f>
        <v>44536</v>
      </c>
      <c r="F14" s="12" t="s">
        <v>7</v>
      </c>
      <c r="G14" s="12"/>
      <c r="H14" s="12" t="str">
        <f>VLOOKUP(Tabela6[[#This Row],[Nome]],Tabela62[#All],2,FALSE)</f>
        <v>Finalizado</v>
      </c>
    </row>
    <row r="15" spans="2:17" x14ac:dyDescent="0.25">
      <c r="C15" s="13" t="s">
        <v>37</v>
      </c>
      <c r="D15" s="17">
        <v>44176</v>
      </c>
      <c r="E15" s="109">
        <f>IF(F15="Bimestral",D15+(30*2),IF(F15="Bienal",D15+(30*24),IF(F15="Semestral",D15+(30*6),IF(F15="Anual",D15+(30*12),""))))</f>
        <v>44536</v>
      </c>
      <c r="F15" s="12" t="s">
        <v>7</v>
      </c>
      <c r="G15" s="12"/>
      <c r="H15" s="12" t="str">
        <f>VLOOKUP(Tabela6[[#This Row],[Nome]],Tabela62[#All],2,FALSE)</f>
        <v>Finalizado</v>
      </c>
    </row>
    <row r="16" spans="2:17" x14ac:dyDescent="0.25">
      <c r="C16" s="13" t="s">
        <v>47</v>
      </c>
      <c r="D16" s="17">
        <v>44200</v>
      </c>
      <c r="E16" s="17">
        <f>IF(F16="Bimestral",D16+(30*2),IF(F16="Bienal",D16+(30*24),IF(F16="Semestral",D16+(30*6),IF(F16="Anual",D16+(30*12),""))))</f>
        <v>44920</v>
      </c>
      <c r="F16" s="12" t="s">
        <v>41</v>
      </c>
      <c r="G16" s="12"/>
      <c r="H16" s="12" t="str">
        <f>VLOOKUP(Tabela6[[#This Row],[Nome]],Tabela62[#All],2,FALSE)</f>
        <v>Finalizado</v>
      </c>
    </row>
    <row r="17" spans="3:8" x14ac:dyDescent="0.25">
      <c r="C17" s="13" t="s">
        <v>40</v>
      </c>
      <c r="D17" s="17">
        <v>44208</v>
      </c>
      <c r="E17" s="17">
        <f>IF(F17="Bimestral",D17+(30*2),IF(F17="Bienal",D17+(30*24),IF(F17="Semestral",D17+(30*6),IF(F17="Anual",D17+(30*12),""))))</f>
        <v>44928</v>
      </c>
      <c r="F17" s="12" t="s">
        <v>41</v>
      </c>
      <c r="G17" s="12"/>
      <c r="H17" s="12" t="str">
        <f>VLOOKUP(Tabela6[[#This Row],[Nome]],Tabela62[#All],2,FALSE)</f>
        <v>Finalizado</v>
      </c>
    </row>
    <row r="18" spans="3:8" x14ac:dyDescent="0.25">
      <c r="C18" s="13" t="s">
        <v>43</v>
      </c>
      <c r="D18" s="17">
        <v>44208</v>
      </c>
      <c r="E18" s="17">
        <f>IF(F18="Bimestral",D18+(30*2),IF(F18="Bienal",D18+(30*24),IF(F18="Semestral",D18+(30*6),IF(F18="Anual",D18+(30*12),""))))</f>
        <v>44568</v>
      </c>
      <c r="F18" s="12" t="s">
        <v>7</v>
      </c>
      <c r="G18" s="12"/>
      <c r="H18" s="12" t="str">
        <f>VLOOKUP(Tabela6[[#This Row],[Nome]],Tabela62[#All],2,FALSE)</f>
        <v>Finalizado</v>
      </c>
    </row>
    <row r="19" spans="3:8" x14ac:dyDescent="0.25">
      <c r="C19" s="13" t="s">
        <v>44</v>
      </c>
      <c r="D19" s="17">
        <v>44208</v>
      </c>
      <c r="E19" s="17">
        <f>IF(F19="Bimestral",D19+(30*2),IF(F19="Bienal",D19+(30*24),IF(F19="Semestral",D19+(30*6),IF(F19="Anual",D19+(30*12),""))))</f>
        <v>44568</v>
      </c>
      <c r="F19" s="12" t="s">
        <v>7</v>
      </c>
      <c r="G19" s="12"/>
      <c r="H19" s="12" t="str">
        <f>VLOOKUP(Tabela6[[#This Row],[Nome]],Tabela62[#All],2,FALSE)</f>
        <v>Finalizado</v>
      </c>
    </row>
    <row r="20" spans="3:8" x14ac:dyDescent="0.25">
      <c r="C20" s="13" t="s">
        <v>46</v>
      </c>
      <c r="D20" s="17">
        <v>44209</v>
      </c>
      <c r="E20" s="17">
        <f>IF(F20="Bimestral",D20+(30*2),IF(F20="Bienal",D20+(30*24),IF(F20="Semestral",D20+(30*6),IF(F20="Anual",D20+(30*12),""))))</f>
        <v>44569</v>
      </c>
      <c r="F20" s="12" t="s">
        <v>7</v>
      </c>
      <c r="G20" s="12"/>
      <c r="H20" s="12" t="str">
        <f>VLOOKUP(Tabela6[[#This Row],[Nome]],Tabela62[#All],2,FALSE)</f>
        <v>Finalizado</v>
      </c>
    </row>
    <row r="21" spans="3:8" x14ac:dyDescent="0.25">
      <c r="C21" s="13" t="s">
        <v>45</v>
      </c>
      <c r="D21" s="17">
        <v>44210</v>
      </c>
      <c r="E21" s="17">
        <f>IF(F21="Bimestral",D21+(30*2),IF(F21="Bienal",D21+(30*24),IF(F21="Semestral",D21+(30*6),IF(F21="Anual",D21+(30*12),""))))</f>
        <v>44390</v>
      </c>
      <c r="F21" s="12" t="s">
        <v>8</v>
      </c>
      <c r="G21" s="12"/>
      <c r="H21" s="12" t="str">
        <f>VLOOKUP(Tabela6[[#This Row],[Nome]],Tabela62[#All],2,FALSE)</f>
        <v>Em Andamento</v>
      </c>
    </row>
    <row r="22" spans="3:8" x14ac:dyDescent="0.25">
      <c r="C22" s="13" t="s">
        <v>78</v>
      </c>
      <c r="D22" s="17">
        <v>44218</v>
      </c>
      <c r="E22" s="17">
        <f>IF(F22="Bimestral",D22+(30*2),IF(F22="Bienal",D22+(30*24),IF(F22="Semestral",D22+(30*6),IF(F22="Anual",D22+(30*12),""))))</f>
        <v>44398</v>
      </c>
      <c r="F22" s="12" t="s">
        <v>8</v>
      </c>
      <c r="G22" s="12"/>
      <c r="H22" s="104" t="str">
        <f>VLOOKUP(Tabela6[[#This Row],[Nome]],Tabela62[#All],2,FALSE)</f>
        <v>Em Andamento</v>
      </c>
    </row>
    <row r="23" spans="3:8" x14ac:dyDescent="0.25">
      <c r="C23" s="13" t="s">
        <v>79</v>
      </c>
      <c r="D23" s="17">
        <v>44221</v>
      </c>
      <c r="E23" s="17">
        <f>IF(F23="Bimestral",D23+(30*2),IF(F23="Bienal",D23+(30*24),IF(F23="Semestral",D23+(30*6),IF(F23="Anual",D23+(30*12),""))))</f>
        <v>44581</v>
      </c>
      <c r="F23" s="12" t="s">
        <v>7</v>
      </c>
      <c r="G23" s="12"/>
      <c r="H23" s="104" t="str">
        <f>VLOOKUP(Tabela6[[#This Row],[Nome]],Tabela62[#All],2,FALSE)</f>
        <v>Finalizado</v>
      </c>
    </row>
    <row r="24" spans="3:8" x14ac:dyDescent="0.25">
      <c r="C24" s="13" t="s">
        <v>82</v>
      </c>
      <c r="D24" s="17">
        <v>44238</v>
      </c>
      <c r="E24" s="17">
        <f>IF(F24="Bimestral",D24+(30*2),IF(F24="Bienal",D24+(30*24),IF(F24="Semestral",D24+(30*6),IF(F24="Anual",D24+(30*12),""))))</f>
        <v>44418</v>
      </c>
      <c r="F24" s="12" t="s">
        <v>8</v>
      </c>
      <c r="G24" s="12"/>
      <c r="H24" s="104" t="str">
        <f>VLOOKUP(Tabela6[[#This Row],[Nome]],Tabela62[#All],2,FALSE)</f>
        <v>Finalizado</v>
      </c>
    </row>
    <row r="25" spans="3:8" x14ac:dyDescent="0.25">
      <c r="C25" s="13" t="s">
        <v>80</v>
      </c>
      <c r="D25" s="17">
        <v>44238</v>
      </c>
      <c r="E25" s="17">
        <f>IF(F25="Bimestral",D25+(30*2),IF(F25="Bienal",D25+(30*24),IF(F25="Semestral",D25+(30*6),IF(F25="Anual",D25+(30*12),""))))</f>
        <v>44958</v>
      </c>
      <c r="F25" s="12" t="s">
        <v>41</v>
      </c>
      <c r="G25" s="12"/>
      <c r="H25" s="104" t="str">
        <f>VLOOKUP(Tabela6[[#This Row],[Nome]],Tabela62[#All],2,FALSE)</f>
        <v>Finalizado</v>
      </c>
    </row>
    <row r="26" spans="3:8" x14ac:dyDescent="0.25">
      <c r="C26" s="13" t="s">
        <v>81</v>
      </c>
      <c r="D26" s="17">
        <v>44238</v>
      </c>
      <c r="E26" s="17">
        <f>IF(F26="Bimestral",D26+(30*2),IF(F26="Bienal",D26+(30*24),IF(F26="Semestral",D26+(30*6),IF(F26="Anual",D26+(30*12),""))))</f>
        <v>44598</v>
      </c>
      <c r="F26" s="12" t="s">
        <v>7</v>
      </c>
      <c r="G26" s="12"/>
      <c r="H26" s="104" t="str">
        <f>VLOOKUP(Tabela6[[#This Row],[Nome]],Tabela62[#All],2,FALSE)</f>
        <v>Finalizado</v>
      </c>
    </row>
    <row r="27" spans="3:8" x14ac:dyDescent="0.25">
      <c r="C27" s="13" t="s">
        <v>84</v>
      </c>
      <c r="D27" s="17">
        <v>44245</v>
      </c>
      <c r="E27" s="17">
        <f>IF(F27="Bimestral",D27+(30*2),IF(F27="Bienal",D27+(30*24),IF(F27="Semestral",D27+(30*6),IF(F27="Anual",D27+(30*12),""))))</f>
        <v>44605</v>
      </c>
      <c r="F27" s="12" t="s">
        <v>7</v>
      </c>
      <c r="G27" s="12"/>
      <c r="H27" s="104" t="str">
        <f>VLOOKUP(Tabela6[[#This Row],[Nome]],Tabela62[#All],2,FALSE)</f>
        <v>Finalizado</v>
      </c>
    </row>
    <row r="28" spans="3:8" x14ac:dyDescent="0.25">
      <c r="C28" s="13" t="s">
        <v>85</v>
      </c>
      <c r="D28" s="17">
        <v>44256</v>
      </c>
      <c r="E28" s="17">
        <f>IF(F28="Bimestral",D28+(30*2),IF(F28="Bienal",D28+(30*24),IF(F28="Semestral",D28+(30*6),IF(F28="Anual",D28+(30*12),""))))</f>
        <v>44616</v>
      </c>
      <c r="F28" s="12" t="s">
        <v>7</v>
      </c>
      <c r="G28" s="12"/>
      <c r="H28" s="104" t="str">
        <f>VLOOKUP(Tabela6[[#This Row],[Nome]],Tabela62[#All],2,FALSE)</f>
        <v>Em Andamento</v>
      </c>
    </row>
    <row r="29" spans="3:8" x14ac:dyDescent="0.25">
      <c r="C29" s="13" t="s">
        <v>88</v>
      </c>
      <c r="D29" s="17">
        <v>44259</v>
      </c>
      <c r="E29" s="17">
        <f>IF(F29="Bimestral",D29+(30*2),IF(F29="Bienal",D29+(30*24),IF(F29="Semestral",D29+(30*6),IF(F29="Anual",D29+(30*12),""))))</f>
        <v>44619</v>
      </c>
      <c r="F29" s="12" t="s">
        <v>7</v>
      </c>
      <c r="G29" s="12"/>
      <c r="H29" s="104" t="str">
        <f>VLOOKUP(Tabela6[[#This Row],[Nome]],Tabela62[#All],2,FALSE)</f>
        <v>Finalizado</v>
      </c>
    </row>
    <row r="30" spans="3:8" x14ac:dyDescent="0.25">
      <c r="C30" s="13" t="s">
        <v>86</v>
      </c>
      <c r="D30" s="17">
        <v>44264</v>
      </c>
      <c r="E30" s="17">
        <f>IF(F30="Bimestral",D30+(30*2),IF(F30="Bienal",D30+(30*24),IF(F30="Semestral",D30+(30*6),IF(F30="Anual",D30+(30*12),""))))</f>
        <v>44624</v>
      </c>
      <c r="F30" s="12" t="s">
        <v>7</v>
      </c>
      <c r="G30" s="12"/>
      <c r="H30" s="104" t="str">
        <f>VLOOKUP(Tabela6[[#This Row],[Nome]],Tabela62[#All],2,FALSE)</f>
        <v>Finalizado</v>
      </c>
    </row>
    <row r="31" spans="3:8" x14ac:dyDescent="0.25">
      <c r="C31" s="13" t="s">
        <v>87</v>
      </c>
      <c r="D31" s="17">
        <v>44265</v>
      </c>
      <c r="E31" s="17">
        <f>IF(F31="Bimestral",D31+(30*2),IF(F31="Bienal",D31+(30*24),IF(F31="Semestral",D31+(30*6),IF(F31="Anual",D31+(30*12),""))))</f>
        <v>44445</v>
      </c>
      <c r="F31" s="12" t="s">
        <v>8</v>
      </c>
      <c r="G31" s="12"/>
      <c r="H31" s="104" t="str">
        <f>VLOOKUP(Tabela6[[#This Row],[Nome]],Tabela62[#All],2,FALSE)</f>
        <v>Finalizado</v>
      </c>
    </row>
    <row r="32" spans="3:8" x14ac:dyDescent="0.25">
      <c r="C32" s="13" t="s">
        <v>89</v>
      </c>
      <c r="D32" s="17">
        <v>44278</v>
      </c>
      <c r="E32" s="17">
        <f>IF(F32="Bimestral",D32+(30*2),IF(F32="Bienal",D32+(30*24),IF(F32="Semestral",D32+(30*6),IF(F32="Anual",D32+(30*12),""))))</f>
        <v>44638</v>
      </c>
      <c r="F32" s="12" t="s">
        <v>7</v>
      </c>
      <c r="G32" s="12"/>
      <c r="H32" s="104" t="str">
        <f>VLOOKUP(Tabela6[[#This Row],[Nome]],Tabela62[#All],2,FALSE)</f>
        <v>Finalizado</v>
      </c>
    </row>
    <row r="33" spans="3:8" x14ac:dyDescent="0.25">
      <c r="C33" s="13" t="s">
        <v>90</v>
      </c>
      <c r="D33" s="17">
        <v>44280</v>
      </c>
      <c r="E33" s="17">
        <f>IF(F33="Bimestral",D33+(30*2),IF(F33="Bienal",D33+(30*24),IF(F33="Semestral",D33+(30*6),IF(F33="Anual",D33+(30*12),""))))</f>
        <v>44460</v>
      </c>
      <c r="F33" s="12" t="s">
        <v>8</v>
      </c>
      <c r="G33" s="12"/>
      <c r="H33" s="104" t="str">
        <f>VLOOKUP(Tabela6[[#This Row],[Nome]],Tabela62[#All],2,FALSE)</f>
        <v>Em Andamento</v>
      </c>
    </row>
    <row r="34" spans="3:8" x14ac:dyDescent="0.25">
      <c r="C34" s="13" t="s">
        <v>83</v>
      </c>
      <c r="D34" s="17">
        <v>44284</v>
      </c>
      <c r="E34" s="17">
        <f>IF(F34="Bimestral",D34+(30*2),IF(F34="Bienal",D34+(30*24),IF(F34="Semestral",D34+(30*6),IF(F34="Anual",D34+(30*12),""))))</f>
        <v>44644</v>
      </c>
      <c r="F34" s="12" t="s">
        <v>7</v>
      </c>
      <c r="G34" s="12"/>
      <c r="H34" s="104" t="str">
        <f>VLOOKUP(Tabela6[[#This Row],[Nome]],Tabela62[#All],2,FALSE)</f>
        <v>Finalizado</v>
      </c>
    </row>
    <row r="35" spans="3:8" x14ac:dyDescent="0.25">
      <c r="C35" s="13" t="s">
        <v>92</v>
      </c>
      <c r="D35" s="17">
        <v>44309</v>
      </c>
      <c r="E35" s="17">
        <f>IF(F35="Bimestral",D35+(30*2),IF(F35="Bienal",D35+(30*24),IF(F35="Semestral",D35+(30*6),IF(F35="Anual",D35+(30*12),""))))</f>
        <v>44669</v>
      </c>
      <c r="F35" s="12" t="s">
        <v>7</v>
      </c>
      <c r="G35" s="12"/>
      <c r="H35" s="104" t="str">
        <f>VLOOKUP(Tabela6[[#This Row],[Nome]],Tabela62[#All],2,FALSE)</f>
        <v>Em Andamento</v>
      </c>
    </row>
  </sheetData>
  <mergeCells count="2">
    <mergeCell ref="D4:F5"/>
    <mergeCell ref="G4:L5"/>
  </mergeCells>
  <phoneticPr fontId="10" type="noConversion"/>
  <conditionalFormatting sqref="E13:E35">
    <cfRule type="cellIs" dxfId="310" priority="1" operator="lessThanOrEqual">
      <formula>TODAY()+30</formula>
    </cfRule>
    <cfRule type="cellIs" dxfId="309" priority="6" operator="lessThanOrEqual">
      <formula>TODAY()+90</formula>
    </cfRule>
  </conditionalFormatting>
  <conditionalFormatting sqref="H13:H35">
    <cfRule type="cellIs" dxfId="308" priority="11" operator="equal">
      <formula>"Concluído"</formula>
    </cfRule>
    <cfRule type="cellIs" dxfId="307" priority="14" operator="equal">
      <formula>"Pendente"</formula>
    </cfRule>
    <cfRule type="cellIs" dxfId="306" priority="15" operator="equal">
      <formula>"Pago"</formula>
    </cfRule>
  </conditionalFormatting>
  <conditionalFormatting sqref="H13:H35">
    <cfRule type="cellIs" dxfId="305" priority="12" operator="equal">
      <formula>"Próximo Mês"</formula>
    </cfRule>
    <cfRule type="cellIs" dxfId="304" priority="13" operator="equal">
      <formula>"Atrasado"</formula>
    </cfRule>
  </conditionalFormatting>
  <conditionalFormatting sqref="H13:H35">
    <cfRule type="expression" dxfId="303" priority="16">
      <formula>$D13="Concluído"</formula>
    </cfRule>
  </conditionalFormatting>
  <conditionalFormatting sqref="H13:H35">
    <cfRule type="cellIs" dxfId="302" priority="9" operator="equal">
      <formula>"Não Iniciado"</formula>
    </cfRule>
    <cfRule type="cellIs" dxfId="301" priority="10" operator="equal">
      <formula>"Iniciado"</formula>
    </cfRule>
  </conditionalFormatting>
  <conditionalFormatting sqref="H13:H35">
    <cfRule type="cellIs" dxfId="300" priority="8" operator="equal">
      <formula>"Em Andamento"</formula>
    </cfRule>
  </conditionalFormatting>
  <conditionalFormatting sqref="C13:H35">
    <cfRule type="expression" dxfId="299" priority="17">
      <formula>$H13="Concluído"</formula>
    </cfRule>
  </conditionalFormatting>
  <dataValidations count="1">
    <dataValidation type="list" allowBlank="1" showInputMessage="1" showErrorMessage="1" sqref="F13:F35" xr:uid="{37C383F5-8E4F-42CB-B86F-0858D22C6C8F}">
      <formula1>"Semestral,Anual,Bienal"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45D3D8-AE8D-44A6-928D-22FA3C5475D7}">
  <sheetPr codeName="Planilha2"/>
  <dimension ref="A1:AF35"/>
  <sheetViews>
    <sheetView showGridLines="0" zoomScaleNormal="100" workbookViewId="0">
      <pane ySplit="12" topLeftCell="A13" activePane="bottomLeft" state="frozen"/>
      <selection pane="bottomLeft"/>
    </sheetView>
  </sheetViews>
  <sheetFormatPr defaultColWidth="0" defaultRowHeight="15" x14ac:dyDescent="0.25"/>
  <cols>
    <col min="1" max="1" width="1.140625" customWidth="1"/>
    <col min="2" max="2" width="2.85546875" customWidth="1"/>
    <col min="3" max="3" width="28.140625" customWidth="1"/>
    <col min="4" max="4" width="14.7109375" bestFit="1" customWidth="1"/>
    <col min="5" max="5" width="12.85546875" bestFit="1" customWidth="1"/>
    <col min="6" max="6" width="10.140625" customWidth="1"/>
    <col min="7" max="7" width="12.7109375" bestFit="1" customWidth="1"/>
    <col min="8" max="8" width="15.42578125" bestFit="1" customWidth="1"/>
    <col min="9" max="9" width="16.140625" bestFit="1" customWidth="1"/>
    <col min="10" max="10" width="7.85546875" bestFit="1" customWidth="1"/>
    <col min="11" max="11" width="11.42578125" bestFit="1" customWidth="1"/>
    <col min="12" max="12" width="15.85546875" customWidth="1"/>
    <col min="13" max="13" width="18.42578125" bestFit="1" customWidth="1"/>
    <col min="14" max="14" width="14.140625" bestFit="1" customWidth="1"/>
    <col min="15" max="15" width="13.85546875" customWidth="1"/>
    <col min="16" max="16" width="17.28515625" bestFit="1" customWidth="1"/>
    <col min="17" max="17" width="17.28515625" hidden="1" customWidth="1"/>
    <col min="18" max="18" width="7.42578125" customWidth="1"/>
    <col min="19" max="19" width="3.42578125" hidden="1" customWidth="1"/>
    <col min="20" max="31" width="8.85546875" hidden="1" customWidth="1"/>
    <col min="32" max="32" width="0" hidden="1" customWidth="1"/>
    <col min="33" max="16384" width="8.85546875" hidden="1"/>
  </cols>
  <sheetData>
    <row r="1" spans="2:20" ht="3.75" hidden="1" customHeight="1" x14ac:dyDescent="0.25"/>
    <row r="2" spans="2:20" s="23" customFormat="1" x14ac:dyDescent="0.25">
      <c r="B2" s="24"/>
      <c r="C2" s="24"/>
      <c r="D2" s="24"/>
      <c r="E2" s="24"/>
      <c r="F2" s="24"/>
      <c r="G2" s="24"/>
      <c r="H2" s="24"/>
      <c r="I2" s="24"/>
      <c r="J2" s="24"/>
      <c r="K2" s="24"/>
      <c r="L2" s="24"/>
      <c r="M2" s="24"/>
      <c r="N2" s="24"/>
      <c r="O2" s="24"/>
      <c r="P2" s="24"/>
      <c r="Q2" s="24"/>
      <c r="R2" s="24"/>
      <c r="S2" s="24"/>
      <c r="T2" s="24"/>
    </row>
    <row r="3" spans="2:20" ht="15" customHeight="1" x14ac:dyDescent="0.25">
      <c r="B3" s="28"/>
      <c r="C3" s="1"/>
      <c r="D3" s="1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20"/>
      <c r="Q3" s="20"/>
      <c r="R3" s="27"/>
      <c r="S3" s="27"/>
      <c r="T3" s="1"/>
    </row>
    <row r="4" spans="2:20" ht="15" customHeight="1" x14ac:dyDescent="0.25">
      <c r="B4" s="28"/>
      <c r="C4" s="1"/>
      <c r="D4" s="110" t="s">
        <v>1</v>
      </c>
      <c r="E4" s="110"/>
      <c r="F4" s="110"/>
      <c r="G4" s="110"/>
      <c r="H4" s="110"/>
      <c r="I4" s="110"/>
      <c r="J4" s="110"/>
      <c r="K4" s="112" t="s">
        <v>93</v>
      </c>
      <c r="L4" s="112"/>
      <c r="M4" s="112"/>
      <c r="N4" s="112"/>
      <c r="O4" s="112"/>
      <c r="P4" s="22"/>
      <c r="Q4" s="22"/>
      <c r="R4" s="27"/>
      <c r="S4" s="27"/>
      <c r="T4" s="1"/>
    </row>
    <row r="5" spans="2:20" ht="15" customHeight="1" x14ac:dyDescent="0.25">
      <c r="B5" s="28"/>
      <c r="C5" s="1"/>
      <c r="D5" s="110"/>
      <c r="E5" s="110"/>
      <c r="F5" s="110"/>
      <c r="G5" s="110"/>
      <c r="H5" s="110"/>
      <c r="I5" s="110"/>
      <c r="J5" s="110"/>
      <c r="K5" s="112"/>
      <c r="L5" s="112"/>
      <c r="M5" s="112"/>
      <c r="N5" s="112"/>
      <c r="O5" s="112"/>
      <c r="P5" s="22"/>
      <c r="Q5" s="22"/>
      <c r="R5" s="27"/>
      <c r="S5" s="27"/>
      <c r="T5" s="1"/>
    </row>
    <row r="6" spans="2:20" ht="15" customHeight="1" x14ac:dyDescent="0.25">
      <c r="B6" s="28"/>
      <c r="C6" s="1"/>
      <c r="D6" s="1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20"/>
      <c r="Q6" s="20"/>
      <c r="R6" s="27"/>
      <c r="S6" s="27"/>
      <c r="T6" s="1"/>
    </row>
    <row r="7" spans="2:20" s="23" customFormat="1" x14ac:dyDescent="0.25">
      <c r="B7" s="24"/>
      <c r="C7" s="24"/>
      <c r="D7" s="24"/>
      <c r="E7" s="24"/>
      <c r="F7" s="24"/>
      <c r="G7" s="24"/>
      <c r="H7" s="24"/>
      <c r="I7" s="24"/>
      <c r="J7" s="24"/>
      <c r="K7" s="24"/>
      <c r="L7" s="24"/>
      <c r="M7" s="24"/>
      <c r="N7" s="24"/>
      <c r="O7" s="24"/>
      <c r="P7" s="24"/>
      <c r="Q7" s="24"/>
      <c r="R7" s="24"/>
      <c r="S7" s="24"/>
      <c r="T7" s="24"/>
    </row>
    <row r="8" spans="2:20" x14ac:dyDescent="0.25"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</row>
    <row r="9" spans="2:20" x14ac:dyDescent="0.25"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</row>
    <row r="10" spans="2:20" x14ac:dyDescent="0.25"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</row>
    <row r="11" spans="2:20" x14ac:dyDescent="0.25"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</row>
    <row r="12" spans="2:20" x14ac:dyDescent="0.25">
      <c r="C12" s="4" t="s">
        <v>0</v>
      </c>
      <c r="D12" s="11" t="s">
        <v>54</v>
      </c>
      <c r="E12" s="11" t="s">
        <v>16</v>
      </c>
      <c r="F12" s="11" t="s">
        <v>17</v>
      </c>
      <c r="G12" s="11" t="s">
        <v>18</v>
      </c>
      <c r="H12" s="11" t="s">
        <v>52</v>
      </c>
      <c r="I12" s="11" t="s">
        <v>9</v>
      </c>
      <c r="J12" s="11" t="s">
        <v>12</v>
      </c>
      <c r="K12" s="11" t="s">
        <v>13</v>
      </c>
      <c r="L12" s="18" t="s">
        <v>14</v>
      </c>
      <c r="M12" s="18" t="s">
        <v>53</v>
      </c>
      <c r="N12" s="19" t="s">
        <v>15</v>
      </c>
      <c r="O12" s="18" t="s">
        <v>10</v>
      </c>
      <c r="P12" s="11" t="s">
        <v>11</v>
      </c>
      <c r="Q12" s="11" t="s">
        <v>5</v>
      </c>
    </row>
    <row r="13" spans="2:20" x14ac:dyDescent="0.25">
      <c r="C13" s="11" t="s">
        <v>34</v>
      </c>
      <c r="D13" s="16" t="str">
        <f>IF(AND(Tabela62[[#This Row],[Status de Pgto]]="Concluído",Tabela62[[#This Row],[Status do Serviço]]="Concluído"),"Concluído",IF(O13="","",IF(G13=O13,"Finalizado","Em Andamento")))</f>
        <v>Finalizado</v>
      </c>
      <c r="E13" s="14">
        <v>690</v>
      </c>
      <c r="F13" s="59">
        <v>0.1</v>
      </c>
      <c r="G13" s="60">
        <f>Tabela62[[#This Row],[Valor Total]]*(1-Tabela62[[#This Row],[Desconto]])</f>
        <v>621</v>
      </c>
      <c r="H13" s="60">
        <f>(SUMIFS(Tabela62[[#This Row],[Valor Final]],Tabela6[[#This Row],[Modalidade]],"Semestral")/6) + (SUMIFS(Tabela62[[#This Row],[Valor Final]],Tabela6[[#This Row],[Modalidade]],"Anual")/12) + (SUMIFS(Tabela62[[#This Row],[Valor Final]],Tabela6[[#This Row],[Modalidade]],"Bienal")/24)</f>
        <v>103.5</v>
      </c>
      <c r="I13" s="4" t="s">
        <v>35</v>
      </c>
      <c r="J13" s="4">
        <v>1</v>
      </c>
      <c r="K13" s="4">
        <v>1</v>
      </c>
      <c r="L13" s="4" t="s">
        <v>36</v>
      </c>
      <c r="M13" s="4" t="s">
        <v>38</v>
      </c>
      <c r="N13" s="15">
        <f>IF(G13="","",G13/J13)</f>
        <v>621</v>
      </c>
      <c r="O13" s="15">
        <f>IF(L13="Pendente",(K13-1)*N13,IF(OR(L13="PAGO",L13="Concluído"),K13*N13,(K13-1)*N13))</f>
        <v>621</v>
      </c>
      <c r="P13" s="15">
        <f>IF(OR(N13="",O13=""),"",G13-Tabela62[[#This Row],[Valor Pago]])</f>
        <v>0</v>
      </c>
      <c r="Q13" s="17">
        <f>VLOOKUP(Tabela62[[#This Row],[Nome]],Tabela6[[#All],[Nome]:[Data/conteúdo]],2,FALSE)</f>
        <v>44174</v>
      </c>
    </row>
    <row r="14" spans="2:20" x14ac:dyDescent="0.25">
      <c r="C14" s="11" t="s">
        <v>39</v>
      </c>
      <c r="D14" s="16" t="str">
        <f>IF(AND(Tabela62[[#This Row],[Status de Pgto]]="Concluído",Tabela62[[#This Row],[Status do Serviço]]="Concluído"),"Concluído",IF(O14="","",IF(G14=O14,"Finalizado","Em Andamento")))</f>
        <v>Finalizado</v>
      </c>
      <c r="E14" s="14">
        <v>1200</v>
      </c>
      <c r="F14" s="59">
        <v>0.1</v>
      </c>
      <c r="G14" s="60">
        <f>Tabela62[[#This Row],[Valor Total]]*(1-Tabela62[[#This Row],[Desconto]])</f>
        <v>1080</v>
      </c>
      <c r="H14" s="60">
        <f>(SUMIFS(Tabela62[[#This Row],[Valor Final]],Tabela6[[#This Row],[Modalidade]],"Semestral")/6) + (SUMIFS(Tabela62[[#This Row],[Valor Final]],Tabela6[[#This Row],[Modalidade]],"Anual")/12) + (SUMIFS(Tabela62[[#This Row],[Valor Final]],Tabela6[[#This Row],[Modalidade]],"Bienal")/24)</f>
        <v>90</v>
      </c>
      <c r="I14" s="4" t="s">
        <v>35</v>
      </c>
      <c r="J14" s="4">
        <v>1</v>
      </c>
      <c r="K14" s="4">
        <v>1</v>
      </c>
      <c r="L14" s="4" t="s">
        <v>36</v>
      </c>
      <c r="M14" s="4" t="s">
        <v>38</v>
      </c>
      <c r="N14" s="15">
        <f>IF(G14="","",G14/J14)</f>
        <v>1080</v>
      </c>
      <c r="O14" s="15">
        <f>IF(L14="Pendente",(K14-1)*N14,IF(OR(L14="PAGO",L14="Concluído"),K14*N14,(K14-1)*N14))</f>
        <v>1080</v>
      </c>
      <c r="P14" s="15">
        <f>IF(OR(N14="",O14=""),"",G14-Tabela62[[#This Row],[Valor Pago]])</f>
        <v>0</v>
      </c>
      <c r="Q14" s="17">
        <f>VLOOKUP(Tabela62[[#This Row],[Nome]],Tabela6[[#All],[Nome]:[Data/conteúdo]],2,FALSE)</f>
        <v>44176</v>
      </c>
    </row>
    <row r="15" spans="2:20" x14ac:dyDescent="0.25">
      <c r="C15" s="11" t="s">
        <v>37</v>
      </c>
      <c r="D15" s="16" t="str">
        <f>IF(AND(Tabela62[[#This Row],[Status de Pgto]]="Concluído",Tabela62[[#This Row],[Status do Serviço]]="Concluído"),"Concluído",IF(O15="","",IF(G15=O15,"Finalizado","Em Andamento")))</f>
        <v>Finalizado</v>
      </c>
      <c r="E15" s="14">
        <v>1200</v>
      </c>
      <c r="F15" s="59">
        <v>0</v>
      </c>
      <c r="G15" s="60">
        <f>Tabela62[[#This Row],[Valor Total]]*(1-Tabela62[[#This Row],[Desconto]])</f>
        <v>1200</v>
      </c>
      <c r="H15" s="60">
        <f>(SUMIFS(Tabela62[[#This Row],[Valor Final]],Tabela6[[#This Row],[Modalidade]],"Semestral")/6) + (SUMIFS(Tabela62[[#This Row],[Valor Final]],Tabela6[[#This Row],[Modalidade]],"Anual")/12) + (SUMIFS(Tabela62[[#This Row],[Valor Final]],Tabela6[[#This Row],[Modalidade]],"Bienal")/24)</f>
        <v>100</v>
      </c>
      <c r="I15" s="4" t="s">
        <v>35</v>
      </c>
      <c r="J15" s="4">
        <v>12</v>
      </c>
      <c r="K15" s="4">
        <v>12</v>
      </c>
      <c r="L15" s="4" t="s">
        <v>36</v>
      </c>
      <c r="M15" s="4" t="s">
        <v>38</v>
      </c>
      <c r="N15" s="15">
        <f>IF(G15="","",G15/J15)</f>
        <v>100</v>
      </c>
      <c r="O15" s="15">
        <f>IF(L15="Pendente",(K15-1)*N15,IF(OR(L15="PAGO",L15="Concluído"),K15*N15,(K15-1)*N15))</f>
        <v>1200</v>
      </c>
      <c r="P15" s="15">
        <f>IF(OR(N15="",O15=""),"",G15-Tabela62[[#This Row],[Valor Pago]])</f>
        <v>0</v>
      </c>
      <c r="Q15" s="17">
        <f>VLOOKUP(Tabela62[[#This Row],[Nome]],Tabela6[[#All],[Nome]:[Data/conteúdo]],2,FALSE)</f>
        <v>44176</v>
      </c>
    </row>
    <row r="16" spans="2:20" x14ac:dyDescent="0.25">
      <c r="C16" s="11" t="s">
        <v>47</v>
      </c>
      <c r="D16" s="16" t="str">
        <f>IF(AND(Tabela62[[#This Row],[Status de Pgto]]="Concluído",Tabela62[[#This Row],[Status do Serviço]]="Concluído"),"Concluído",IF(O16="","",IF(G16=O16,"Finalizado","Em Andamento")))</f>
        <v>Finalizado</v>
      </c>
      <c r="E16" s="14">
        <v>2040</v>
      </c>
      <c r="F16" s="59">
        <v>0.6</v>
      </c>
      <c r="G16" s="60">
        <f>Tabela62[[#This Row],[Valor Total]]*(1-Tabela62[[#This Row],[Desconto]])</f>
        <v>816</v>
      </c>
      <c r="H16" s="60">
        <f>(SUMIFS(Tabela62[[#This Row],[Valor Final]],Tabela6[[#This Row],[Modalidade]],"Semestral")/6) + (SUMIFS(Tabela62[[#This Row],[Valor Final]],Tabela6[[#This Row],[Modalidade]],"Anual")/12) + (SUMIFS(Tabela62[[#This Row],[Valor Final]],Tabela6[[#This Row],[Modalidade]],"Bienal")/24)</f>
        <v>34</v>
      </c>
      <c r="I16" s="4" t="s">
        <v>48</v>
      </c>
      <c r="J16" s="4">
        <v>1</v>
      </c>
      <c r="K16" s="4">
        <v>1</v>
      </c>
      <c r="L16" s="4" t="s">
        <v>36</v>
      </c>
      <c r="M16" s="4" t="s">
        <v>38</v>
      </c>
      <c r="N16" s="15">
        <f>IF(G16="","",G16/J16)</f>
        <v>816</v>
      </c>
      <c r="O16" s="15">
        <f>IF(L16="Pendente",(K16-1)*N16,IF(OR(L16="PAGO",L16="Concluído"),K16*N16,(K16-1)*N16))</f>
        <v>816</v>
      </c>
      <c r="P16" s="15">
        <f>IF(OR(N16="",O16=""),"",G16-Tabela62[[#This Row],[Valor Pago]])</f>
        <v>0</v>
      </c>
      <c r="Q16" s="17">
        <f>VLOOKUP(Tabela62[[#This Row],[Nome]],Tabela6[[#All],[Nome]:[Data/conteúdo]],2,FALSE)</f>
        <v>44200</v>
      </c>
    </row>
    <row r="17" spans="3:17" x14ac:dyDescent="0.25">
      <c r="C17" s="11" t="s">
        <v>40</v>
      </c>
      <c r="D17" s="16" t="str">
        <f>IF(AND(Tabela62[[#This Row],[Status de Pgto]]="Concluído",Tabela62[[#This Row],[Status do Serviço]]="Concluído"),"Concluído",IF(O17="","",IF(G17=O17,"Finalizado","Em Andamento")))</f>
        <v>Finalizado</v>
      </c>
      <c r="E17" s="14">
        <v>2040</v>
      </c>
      <c r="F17" s="59">
        <v>0.1</v>
      </c>
      <c r="G17" s="60">
        <f>Tabela62[[#This Row],[Valor Total]]*(1-Tabela62[[#This Row],[Desconto]])</f>
        <v>1836</v>
      </c>
      <c r="H17" s="60">
        <f>(SUMIFS(Tabela62[[#This Row],[Valor Final]],Tabela6[[#This Row],[Modalidade]],"Semestral")/6) + (SUMIFS(Tabela62[[#This Row],[Valor Final]],Tabela6[[#This Row],[Modalidade]],"Anual")/12) + (SUMIFS(Tabela62[[#This Row],[Valor Final]],Tabela6[[#This Row],[Modalidade]],"Bienal")/24)</f>
        <v>76.5</v>
      </c>
      <c r="I17" s="4" t="s">
        <v>42</v>
      </c>
      <c r="J17" s="4">
        <v>1</v>
      </c>
      <c r="K17" s="4">
        <v>1</v>
      </c>
      <c r="L17" s="4" t="s">
        <v>36</v>
      </c>
      <c r="M17" s="4" t="s">
        <v>38</v>
      </c>
      <c r="N17" s="15">
        <f>IF(G17="","",G17/J17)</f>
        <v>1836</v>
      </c>
      <c r="O17" s="15">
        <f>IF(L17="Pendente",(K17-1)*N17,IF(OR(L17="PAGO",L17="Concluído"),K17*N17,(K17-1)*N17))</f>
        <v>1836</v>
      </c>
      <c r="P17" s="15">
        <f>IF(OR(N17="",O17=""),"",G17-Tabela62[[#This Row],[Valor Pago]])</f>
        <v>0</v>
      </c>
      <c r="Q17" s="17">
        <f>VLOOKUP(Tabela62[[#This Row],[Nome]],Tabela6[[#All],[Nome]:[Data/conteúdo]],2,FALSE)</f>
        <v>44208</v>
      </c>
    </row>
    <row r="18" spans="3:17" x14ac:dyDescent="0.25">
      <c r="C18" s="11" t="s">
        <v>43</v>
      </c>
      <c r="D18" s="16" t="str">
        <f>IF(AND(Tabela62[[#This Row],[Status de Pgto]]="Concluído",Tabela62[[#This Row],[Status do Serviço]]="Concluído"),"Concluído",IF(O18="","",IF(G18=O18,"Finalizado","Em Andamento")))</f>
        <v>Finalizado</v>
      </c>
      <c r="E18" s="14">
        <v>1200</v>
      </c>
      <c r="F18" s="59">
        <v>0.1</v>
      </c>
      <c r="G18" s="60">
        <f>Tabela62[[#This Row],[Valor Total]]*(1-Tabela62[[#This Row],[Desconto]])</f>
        <v>1080</v>
      </c>
      <c r="H18" s="60">
        <f>(SUMIFS(Tabela62[[#This Row],[Valor Final]],Tabela6[[#This Row],[Modalidade]],"Semestral")/6) + (SUMIFS(Tabela62[[#This Row],[Valor Final]],Tabela6[[#This Row],[Modalidade]],"Anual")/12) + (SUMIFS(Tabela62[[#This Row],[Valor Final]],Tabela6[[#This Row],[Modalidade]],"Bienal")/24)</f>
        <v>90</v>
      </c>
      <c r="I18" s="4" t="s">
        <v>49</v>
      </c>
      <c r="J18" s="4">
        <v>1</v>
      </c>
      <c r="K18" s="4">
        <v>1</v>
      </c>
      <c r="L18" s="4" t="s">
        <v>36</v>
      </c>
      <c r="M18" s="4" t="s">
        <v>38</v>
      </c>
      <c r="N18" s="15">
        <f>IF(G18="","",G18/J18)</f>
        <v>1080</v>
      </c>
      <c r="O18" s="15">
        <f>IF(L18="Pendente",(K18-1)*N18,IF(OR(L18="PAGO",L18="Concluído"),K18*N18,(K18-1)*N18))</f>
        <v>1080</v>
      </c>
      <c r="P18" s="15">
        <f>IF(OR(N18="",O18=""),"",G18-Tabela62[[#This Row],[Valor Pago]])</f>
        <v>0</v>
      </c>
      <c r="Q18" s="17">
        <f>VLOOKUP(Tabela62[[#This Row],[Nome]],Tabela6[[#All],[Nome]:[Data/conteúdo]],2,FALSE)</f>
        <v>44208</v>
      </c>
    </row>
    <row r="19" spans="3:17" x14ac:dyDescent="0.25">
      <c r="C19" s="11" t="s">
        <v>44</v>
      </c>
      <c r="D19" s="16" t="str">
        <f>IF(AND(Tabela62[[#This Row],[Status de Pgto]]="Concluído",Tabela62[[#This Row],[Status do Serviço]]="Concluído"),"Concluído",IF(O19="","",IF(G19=O19,"Finalizado","Em Andamento")))</f>
        <v>Finalizado</v>
      </c>
      <c r="E19" s="14">
        <v>1200</v>
      </c>
      <c r="F19" s="59">
        <v>0.1</v>
      </c>
      <c r="G19" s="60">
        <f>Tabela62[[#This Row],[Valor Total]]*(1-Tabela62[[#This Row],[Desconto]])</f>
        <v>1080</v>
      </c>
      <c r="H19" s="60">
        <f>(SUMIFS(Tabela62[[#This Row],[Valor Final]],Tabela6[[#This Row],[Modalidade]],"Semestral")/6) + (SUMIFS(Tabela62[[#This Row],[Valor Final]],Tabela6[[#This Row],[Modalidade]],"Anual")/12) + (SUMIFS(Tabela62[[#This Row],[Valor Final]],Tabela6[[#This Row],[Modalidade]],"Bienal")/24)</f>
        <v>90</v>
      </c>
      <c r="I19" s="4" t="s">
        <v>49</v>
      </c>
      <c r="J19" s="4">
        <v>1</v>
      </c>
      <c r="K19" s="4">
        <v>1</v>
      </c>
      <c r="L19" s="4" t="s">
        <v>36</v>
      </c>
      <c r="M19" s="4" t="s">
        <v>38</v>
      </c>
      <c r="N19" s="15">
        <f>IF(G19="","",G19/J19)</f>
        <v>1080</v>
      </c>
      <c r="O19" s="15">
        <f>IF(L19="Pendente",(K19-1)*N19,IF(OR(L19="PAGO",L19="Concluído"),K19*N19,(K19-1)*N19))</f>
        <v>1080</v>
      </c>
      <c r="P19" s="15">
        <f>IF(OR(N19="",O19=""),"",G19-Tabela62[[#This Row],[Valor Pago]])</f>
        <v>0</v>
      </c>
      <c r="Q19" s="17">
        <f>VLOOKUP(Tabela62[[#This Row],[Nome]],Tabela6[[#All],[Nome]:[Data/conteúdo]],2,FALSE)</f>
        <v>44208</v>
      </c>
    </row>
    <row r="20" spans="3:17" x14ac:dyDescent="0.25">
      <c r="C20" s="11" t="s">
        <v>46</v>
      </c>
      <c r="D20" s="16" t="str">
        <f>IF(AND(Tabela62[[#This Row],[Status de Pgto]]="Concluído",Tabela62[[#This Row],[Status do Serviço]]="Concluído"),"Concluído",IF(O20="","",IF(G20=O20,"Finalizado","Em Andamento")))</f>
        <v>Finalizado</v>
      </c>
      <c r="E20" s="14">
        <v>1200</v>
      </c>
      <c r="F20" s="59">
        <v>0.1</v>
      </c>
      <c r="G20" s="60">
        <f>Tabela62[[#This Row],[Valor Total]]*(1-Tabela62[[#This Row],[Desconto]])</f>
        <v>1080</v>
      </c>
      <c r="H20" s="60">
        <f>(SUMIFS(Tabela62[[#This Row],[Valor Final]],Tabela6[[#This Row],[Modalidade]],"Semestral")/6) + (SUMIFS(Tabela62[[#This Row],[Valor Final]],Tabela6[[#This Row],[Modalidade]],"Anual")/12) + (SUMIFS(Tabela62[[#This Row],[Valor Final]],Tabela6[[#This Row],[Modalidade]],"Bienal")/24)</f>
        <v>90</v>
      </c>
      <c r="I20" s="4" t="s">
        <v>35</v>
      </c>
      <c r="J20" s="4">
        <v>12</v>
      </c>
      <c r="K20" s="4">
        <v>12</v>
      </c>
      <c r="L20" s="4" t="s">
        <v>36</v>
      </c>
      <c r="M20" s="4" t="s">
        <v>38</v>
      </c>
      <c r="N20" s="15">
        <f>IF(G20="","",G20/J20)</f>
        <v>90</v>
      </c>
      <c r="O20" s="15">
        <f>IF(L20="Pendente",(K20-1)*N20,IF(OR(L20="PAGO",L20="Concluído"),K20*N20,(K20-1)*N20))</f>
        <v>1080</v>
      </c>
      <c r="P20" s="15">
        <f>IF(OR(N20="",O20=""),"",G20-Tabela62[[#This Row],[Valor Pago]])</f>
        <v>0</v>
      </c>
      <c r="Q20" s="17">
        <f>VLOOKUP(Tabela62[[#This Row],[Nome]],Tabela6[[#All],[Nome]:[Data/conteúdo]],2,FALSE)</f>
        <v>44209</v>
      </c>
    </row>
    <row r="21" spans="3:17" x14ac:dyDescent="0.25">
      <c r="C21" s="11" t="s">
        <v>45</v>
      </c>
      <c r="D21" s="16" t="str">
        <f>IF(AND(Tabela62[[#This Row],[Status de Pgto]]="Concluído",Tabela62[[#This Row],[Status do Serviço]]="Concluído"),"Concluído",IF(O21="","",IF(G21=O21,"Finalizado","Em Andamento")))</f>
        <v>Em Andamento</v>
      </c>
      <c r="E21" s="14">
        <v>690</v>
      </c>
      <c r="F21" s="59">
        <v>0</v>
      </c>
      <c r="G21" s="60">
        <f>Tabela62[[#This Row],[Valor Total]]*(1-Tabela62[[#This Row],[Desconto]])</f>
        <v>690</v>
      </c>
      <c r="H21" s="60">
        <f>(SUMIFS(Tabela62[[#This Row],[Valor Final]],Tabela6[[#This Row],[Modalidade]],"Semestral")/6) + (SUMIFS(Tabela62[[#This Row],[Valor Final]],Tabela6[[#This Row],[Modalidade]],"Anual")/12) + (SUMIFS(Tabela62[[#This Row],[Valor Final]],Tabela6[[#This Row],[Modalidade]],"Bienal")/24)</f>
        <v>115</v>
      </c>
      <c r="I21" s="4" t="s">
        <v>49</v>
      </c>
      <c r="J21" s="4">
        <v>6</v>
      </c>
      <c r="K21" s="4">
        <v>3</v>
      </c>
      <c r="L21" s="4" t="s">
        <v>36</v>
      </c>
      <c r="M21" s="4" t="s">
        <v>38</v>
      </c>
      <c r="N21" s="15">
        <f>IF(G21="","",G21/J21)</f>
        <v>115</v>
      </c>
      <c r="O21" s="15">
        <f>IF(L21="Pendente",(K21-1)*N21,IF(OR(L21="PAGO",L21="Concluído"),K21*N21,(K21-1)*N21))</f>
        <v>345</v>
      </c>
      <c r="P21" s="15">
        <f>IF(OR(N21="",O21=""),"",G21-Tabela62[[#This Row],[Valor Pago]])</f>
        <v>345</v>
      </c>
      <c r="Q21" s="17">
        <f>VLOOKUP(Tabela62[[#This Row],[Nome]],Tabela6[[#All],[Nome]:[Data/conteúdo]],2,FALSE)</f>
        <v>44210</v>
      </c>
    </row>
    <row r="22" spans="3:17" x14ac:dyDescent="0.25">
      <c r="C22" s="11" t="s">
        <v>78</v>
      </c>
      <c r="D22" s="105" t="str">
        <f>IF(AND(Tabela62[[#This Row],[Status de Pgto]]="Concluído",Tabela62[[#This Row],[Status do Serviço]]="Concluído"),"Concluído",IF(O22="","",IF(G22=O22,"Finalizado","Em Andamento")))</f>
        <v>Em Andamento</v>
      </c>
      <c r="E22" s="106">
        <v>690</v>
      </c>
      <c r="F22" s="107">
        <v>0</v>
      </c>
      <c r="G22" s="108">
        <f>Tabela62[[#This Row],[Valor Total]]*(1-Tabela62[[#This Row],[Desconto]])</f>
        <v>690</v>
      </c>
      <c r="H22" s="108">
        <f>(SUMIFS(Tabela62[[#This Row],[Valor Final]],Tabela6[[#This Row],[Modalidade]],"Semestral")/6) + (SUMIFS(Tabela62[[#This Row],[Valor Final]],Tabela6[[#This Row],[Modalidade]],"Anual")/12) + (SUMIFS(Tabela62[[#This Row],[Valor Final]],Tabela6[[#This Row],[Modalidade]],"Bienal")/24)</f>
        <v>115</v>
      </c>
      <c r="I22" s="4" t="s">
        <v>49</v>
      </c>
      <c r="J22" s="4">
        <v>6</v>
      </c>
      <c r="K22" s="4">
        <v>3</v>
      </c>
      <c r="L22" s="4" t="s">
        <v>36</v>
      </c>
      <c r="M22" s="4" t="s">
        <v>38</v>
      </c>
      <c r="N22" s="15">
        <f>IF(G22="","",G22/J22)</f>
        <v>115</v>
      </c>
      <c r="O22" s="15">
        <f>IF(L22="Pendente",(K22-1)*N22,IF(OR(L22="PAGO",L22="Concluído"),K22*N22,(K22-1)*N22))</f>
        <v>345</v>
      </c>
      <c r="P22" s="15">
        <f>IF(OR(N22="",O22=""),"",G22-Tabela62[[#This Row],[Valor Pago]])</f>
        <v>345</v>
      </c>
      <c r="Q22" s="17">
        <f>VLOOKUP(Tabela62[[#This Row],[Nome]],Tabela6[[#All],[Nome]:[Data/conteúdo]],2,FALSE)</f>
        <v>44218</v>
      </c>
    </row>
    <row r="23" spans="3:17" x14ac:dyDescent="0.25">
      <c r="C23" s="11" t="s">
        <v>79</v>
      </c>
      <c r="D23" s="105" t="str">
        <f>IF(AND(Tabela62[[#This Row],[Status de Pgto]]="Concluído",Tabela62[[#This Row],[Status do Serviço]]="Concluído"),"Concluído",IF(O23="","",IF(G23=O23,"Finalizado","Em Andamento")))</f>
        <v>Finalizado</v>
      </c>
      <c r="E23" s="106">
        <v>1200</v>
      </c>
      <c r="F23" s="107">
        <v>0</v>
      </c>
      <c r="G23" s="108">
        <f>Tabela62[[#This Row],[Valor Total]]*(1-Tabela62[[#This Row],[Desconto]])</f>
        <v>1200</v>
      </c>
      <c r="H23" s="108">
        <f>(SUMIFS(Tabela62[[#This Row],[Valor Final]],Tabela6[[#This Row],[Modalidade]],"Semestral")/6) + (SUMIFS(Tabela62[[#This Row],[Valor Final]],Tabela6[[#This Row],[Modalidade]],"Anual")/12) + (SUMIFS(Tabela62[[#This Row],[Valor Final]],Tabela6[[#This Row],[Modalidade]],"Bienal")/24)</f>
        <v>100</v>
      </c>
      <c r="I23" s="4" t="s">
        <v>49</v>
      </c>
      <c r="J23" s="4">
        <v>12</v>
      </c>
      <c r="K23" s="4">
        <v>12</v>
      </c>
      <c r="L23" s="4" t="s">
        <v>36</v>
      </c>
      <c r="M23" s="4" t="s">
        <v>38</v>
      </c>
      <c r="N23" s="15">
        <f>IF(G23="","",G23/J23)</f>
        <v>100</v>
      </c>
      <c r="O23" s="15">
        <f>IF(L23="Pendente",(K23-1)*N23,IF(OR(L23="PAGO",L23="Concluído"),K23*N23,(K23-1)*N23))</f>
        <v>1200</v>
      </c>
      <c r="P23" s="15">
        <f>IF(OR(N23="",O23=""),"",G23-Tabela62[[#This Row],[Valor Pago]])</f>
        <v>0</v>
      </c>
      <c r="Q23" s="17">
        <f>VLOOKUP(Tabela62[[#This Row],[Nome]],Tabela6[[#All],[Nome]:[Data/conteúdo]],2,FALSE)</f>
        <v>44221</v>
      </c>
    </row>
    <row r="24" spans="3:17" x14ac:dyDescent="0.25">
      <c r="C24" s="11" t="s">
        <v>82</v>
      </c>
      <c r="D24" s="105" t="str">
        <f>IF(AND(Tabela62[[#This Row],[Status de Pgto]]="Concluído",Tabela62[[#This Row],[Status do Serviço]]="Concluído"),"Concluído",IF(O24="","",IF(G24=O24,"Finalizado","Em Andamento")))</f>
        <v>Finalizado</v>
      </c>
      <c r="E24" s="106">
        <v>690</v>
      </c>
      <c r="F24" s="107">
        <v>0</v>
      </c>
      <c r="G24" s="108">
        <f>Tabela62[[#This Row],[Valor Total]]*(1-Tabela62[[#This Row],[Desconto]])</f>
        <v>690</v>
      </c>
      <c r="H24" s="108">
        <f>(SUMIFS(Tabela62[[#This Row],[Valor Final]],Tabela6[[#This Row],[Modalidade]],"Semestral")/6) + (SUMIFS(Tabela62[[#This Row],[Valor Final]],Tabela6[[#This Row],[Modalidade]],"Anual")/12) + (SUMIFS(Tabela62[[#This Row],[Valor Final]],Tabela6[[#This Row],[Modalidade]],"Bienal")/24)</f>
        <v>115</v>
      </c>
      <c r="I24" s="4" t="s">
        <v>49</v>
      </c>
      <c r="J24" s="4">
        <v>6</v>
      </c>
      <c r="K24" s="4">
        <v>6</v>
      </c>
      <c r="L24" s="4" t="s">
        <v>36</v>
      </c>
      <c r="M24" s="4" t="s">
        <v>38</v>
      </c>
      <c r="N24" s="15">
        <f>IF(G24="","",G24/J24)</f>
        <v>115</v>
      </c>
      <c r="O24" s="15">
        <f>IF(L24="Pendente",(K24-1)*N24,IF(OR(L24="PAGO",L24="Concluído"),K24*N24,(K24-1)*N24))</f>
        <v>690</v>
      </c>
      <c r="P24" s="15">
        <f>IF(OR(N24="",O24=""),"",G24-Tabela62[[#This Row],[Valor Pago]])</f>
        <v>0</v>
      </c>
      <c r="Q24" s="17">
        <f>VLOOKUP(Tabela62[[#This Row],[Nome]],Tabela6[[#All],[Nome]:[Data/conteúdo]],2,FALSE)</f>
        <v>44238</v>
      </c>
    </row>
    <row r="25" spans="3:17" x14ac:dyDescent="0.25">
      <c r="C25" s="11" t="s">
        <v>80</v>
      </c>
      <c r="D25" s="105" t="str">
        <f>IF(AND(Tabela62[[#This Row],[Status de Pgto]]="Concluído",Tabela62[[#This Row],[Status do Serviço]]="Concluído"),"Concluído",IF(O25="","",IF(G25=O25,"Finalizado","Em Andamento")))</f>
        <v>Finalizado</v>
      </c>
      <c r="E25" s="106">
        <v>2040</v>
      </c>
      <c r="F25" s="107">
        <v>0.1</v>
      </c>
      <c r="G25" s="108">
        <f>Tabela62[[#This Row],[Valor Total]]*(1-Tabela62[[#This Row],[Desconto]])</f>
        <v>1836</v>
      </c>
      <c r="H25" s="108">
        <f>(SUMIFS(Tabela62[[#This Row],[Valor Final]],Tabela6[[#This Row],[Modalidade]],"Semestral")/6) + (SUMIFS(Tabela62[[#This Row],[Valor Final]],Tabela6[[#This Row],[Modalidade]],"Anual")/12) + (SUMIFS(Tabela62[[#This Row],[Valor Final]],Tabela6[[#This Row],[Modalidade]],"Bienal")/24)</f>
        <v>76.5</v>
      </c>
      <c r="I25" s="4" t="s">
        <v>48</v>
      </c>
      <c r="J25" s="4">
        <v>1</v>
      </c>
      <c r="K25" s="4">
        <v>1</v>
      </c>
      <c r="L25" s="4" t="s">
        <v>36</v>
      </c>
      <c r="M25" s="4" t="s">
        <v>38</v>
      </c>
      <c r="N25" s="15">
        <f>IF(G25="","",G25/J25)</f>
        <v>1836</v>
      </c>
      <c r="O25" s="15">
        <f>IF(L25="Pendente",(K25-1)*N25,IF(OR(L25="PAGO",L25="Concluído"),K25*N25,(K25-1)*N25))</f>
        <v>1836</v>
      </c>
      <c r="P25" s="15">
        <f>IF(OR(N25="",O25=""),"",G25-Tabela62[[#This Row],[Valor Pago]])</f>
        <v>0</v>
      </c>
      <c r="Q25" s="17">
        <f>VLOOKUP(Tabela62[[#This Row],[Nome]],Tabela6[[#All],[Nome]:[Data/conteúdo]],2,FALSE)</f>
        <v>44238</v>
      </c>
    </row>
    <row r="26" spans="3:17" x14ac:dyDescent="0.25">
      <c r="C26" s="11" t="s">
        <v>81</v>
      </c>
      <c r="D26" s="105" t="str">
        <f>IF(AND(Tabela62[[#This Row],[Status de Pgto]]="Concluído",Tabela62[[#This Row],[Status do Serviço]]="Concluído"),"Concluído",IF(O26="","",IF(G26=O26,"Finalizado","Em Andamento")))</f>
        <v>Finalizado</v>
      </c>
      <c r="E26" s="106">
        <v>1200</v>
      </c>
      <c r="F26" s="107">
        <v>0</v>
      </c>
      <c r="G26" s="108">
        <f>Tabela62[[#This Row],[Valor Total]]*(1-Tabela62[[#This Row],[Desconto]])</f>
        <v>1200</v>
      </c>
      <c r="H26" s="108">
        <f>(SUMIFS(Tabela62[[#This Row],[Valor Final]],Tabela6[[#This Row],[Modalidade]],"Semestral")/6) + (SUMIFS(Tabela62[[#This Row],[Valor Final]],Tabela6[[#This Row],[Modalidade]],"Anual")/12) + (SUMIFS(Tabela62[[#This Row],[Valor Final]],Tabela6[[#This Row],[Modalidade]],"Bienal")/24)</f>
        <v>100</v>
      </c>
      <c r="I26" s="4" t="s">
        <v>48</v>
      </c>
      <c r="J26" s="4">
        <v>1</v>
      </c>
      <c r="K26" s="4">
        <v>1</v>
      </c>
      <c r="L26" s="4" t="s">
        <v>36</v>
      </c>
      <c r="M26" s="4" t="s">
        <v>38</v>
      </c>
      <c r="N26" s="15">
        <f>IF(G26="","",G26/J26)</f>
        <v>1200</v>
      </c>
      <c r="O26" s="15">
        <f>IF(L26="Pendente",(K26-1)*N26,IF(OR(L26="PAGO",L26="Concluído"),K26*N26,(K26-1)*N26))</f>
        <v>1200</v>
      </c>
      <c r="P26" s="15">
        <f>IF(OR(N26="",O26=""),"",G26-Tabela62[[#This Row],[Valor Pago]])</f>
        <v>0</v>
      </c>
      <c r="Q26" s="17">
        <f>VLOOKUP(Tabela62[[#This Row],[Nome]],Tabela6[[#All],[Nome]:[Data/conteúdo]],2,FALSE)</f>
        <v>44238</v>
      </c>
    </row>
    <row r="27" spans="3:17" x14ac:dyDescent="0.25">
      <c r="C27" s="11" t="s">
        <v>84</v>
      </c>
      <c r="D27" s="16" t="str">
        <f>IF(AND(Tabela62[[#This Row],[Status de Pgto]]="Concluído",Tabela62[[#This Row],[Status do Serviço]]="Concluído"),"Concluído",IF(O27="","",IF(G27=O27,"Finalizado","Em Andamento")))</f>
        <v>Finalizado</v>
      </c>
      <c r="E27" s="14">
        <v>1200</v>
      </c>
      <c r="F27" s="59">
        <v>0</v>
      </c>
      <c r="G27" s="60">
        <f>Tabela62[[#This Row],[Valor Total]]*(1-Tabela62[[#This Row],[Desconto]])</f>
        <v>1200</v>
      </c>
      <c r="H27" s="60">
        <f>(SUMIFS(Tabela62[[#This Row],[Valor Final]],Tabela6[[#This Row],[Modalidade]],"Semestral")/6) + (SUMIFS(Tabela62[[#This Row],[Valor Final]],Tabela6[[#This Row],[Modalidade]],"Anual")/12) + (SUMIFS(Tabela62[[#This Row],[Valor Final]],Tabela6[[#This Row],[Modalidade]],"Bienal")/24)</f>
        <v>100</v>
      </c>
      <c r="I27" s="4" t="s">
        <v>49</v>
      </c>
      <c r="J27" s="4">
        <v>12</v>
      </c>
      <c r="K27" s="4">
        <v>12</v>
      </c>
      <c r="L27" s="4" t="s">
        <v>36</v>
      </c>
      <c r="M27" s="4" t="s">
        <v>38</v>
      </c>
      <c r="N27" s="15">
        <f>IF(G27="","",G27/J27)</f>
        <v>100</v>
      </c>
      <c r="O27" s="15">
        <f>IF(L27="Pendente",(K27-1)*N27,IF(OR(L27="PAGO",L27="Concluído"),K27*N27,(K27-1)*N27))</f>
        <v>1200</v>
      </c>
      <c r="P27" s="15">
        <f>IF(OR(N27="",O27=""),"",G27-Tabela62[[#This Row],[Valor Pago]])</f>
        <v>0</v>
      </c>
      <c r="Q27" s="17">
        <f>VLOOKUP(Tabela62[[#This Row],[Nome]],Tabela6[[#All],[Nome]:[Data/conteúdo]],2,FALSE)</f>
        <v>44245</v>
      </c>
    </row>
    <row r="28" spans="3:17" x14ac:dyDescent="0.25">
      <c r="C28" s="11" t="s">
        <v>85</v>
      </c>
      <c r="D28" s="16" t="str">
        <f>IF(AND(Tabela62[[#This Row],[Status de Pgto]]="Concluído",Tabela62[[#This Row],[Status do Serviço]]="Concluído"),"Concluído",IF(O28="","",IF(G28=O28,"Finalizado","Em Andamento")))</f>
        <v>Em Andamento</v>
      </c>
      <c r="E28" s="14">
        <v>1200</v>
      </c>
      <c r="F28" s="59">
        <v>0</v>
      </c>
      <c r="G28" s="60">
        <f>Tabela62[[#This Row],[Valor Total]]*(1-Tabela62[[#This Row],[Desconto]])</f>
        <v>1200</v>
      </c>
      <c r="H28" s="60">
        <f>(SUMIFS(Tabela62[[#This Row],[Valor Final]],Tabela6[[#This Row],[Modalidade]],"Semestral")/6) + (SUMIFS(Tabela62[[#This Row],[Valor Final]],Tabela6[[#This Row],[Modalidade]],"Anual")/12) + (SUMIFS(Tabela62[[#This Row],[Valor Final]],Tabela6[[#This Row],[Modalidade]],"Bienal")/24)</f>
        <v>100</v>
      </c>
      <c r="I28" s="4" t="s">
        <v>42</v>
      </c>
      <c r="J28" s="4">
        <v>12</v>
      </c>
      <c r="K28" s="4">
        <v>2</v>
      </c>
      <c r="L28" s="4" t="s">
        <v>36</v>
      </c>
      <c r="M28" s="4" t="s">
        <v>38</v>
      </c>
      <c r="N28" s="15">
        <f>IF(G28="","",G28/J28)</f>
        <v>100</v>
      </c>
      <c r="O28" s="15">
        <f>IF(L28="Pendente",(K28-1)*N28,IF(OR(L28="PAGO",L28="Concluído"),K28*N28,(K28-1)*N28))</f>
        <v>200</v>
      </c>
      <c r="P28" s="15">
        <f>IF(OR(N28="",O28=""),"",G28-Tabela62[[#This Row],[Valor Pago]])</f>
        <v>1000</v>
      </c>
      <c r="Q28" s="17">
        <f>VLOOKUP(Tabela62[[#This Row],[Nome]],Tabela6[[#All],[Nome]:[Data/conteúdo]],2,FALSE)</f>
        <v>44256</v>
      </c>
    </row>
    <row r="29" spans="3:17" x14ac:dyDescent="0.25">
      <c r="C29" s="11" t="s">
        <v>88</v>
      </c>
      <c r="D29" s="16" t="str">
        <f>IF(AND(Tabela62[[#This Row],[Status de Pgto]]="Concluído",Tabela62[[#This Row],[Status do Serviço]]="Concluído"),"Concluído",IF(O29="","",IF(G29=O29,"Finalizado","Em Andamento")))</f>
        <v>Finalizado</v>
      </c>
      <c r="E29" s="14">
        <v>1200</v>
      </c>
      <c r="F29" s="59">
        <v>0.1</v>
      </c>
      <c r="G29" s="60">
        <f>Tabela62[[#This Row],[Valor Total]]*(1-Tabela62[[#This Row],[Desconto]])</f>
        <v>1080</v>
      </c>
      <c r="H29" s="60">
        <f>(SUMIFS(Tabela62[[#This Row],[Valor Final]],Tabela6[[#This Row],[Modalidade]],"Semestral")/6) + (SUMIFS(Tabela62[[#This Row],[Valor Final]],Tabela6[[#This Row],[Modalidade]],"Anual")/12) + (SUMIFS(Tabela62[[#This Row],[Valor Final]],Tabela6[[#This Row],[Modalidade]],"Bienal")/24)</f>
        <v>90</v>
      </c>
      <c r="I29" s="4" t="s">
        <v>35</v>
      </c>
      <c r="J29" s="4">
        <v>1</v>
      </c>
      <c r="K29" s="4">
        <v>1</v>
      </c>
      <c r="L29" s="4" t="s">
        <v>36</v>
      </c>
      <c r="M29" s="4" t="s">
        <v>38</v>
      </c>
      <c r="N29" s="15">
        <f>IF(G29="","",G29/J29)</f>
        <v>1080</v>
      </c>
      <c r="O29" s="15">
        <f>IF(L29="Pendente",(K29-1)*N29,IF(OR(L29="PAGO",L29="Concluído"),K29*N29,(K29-1)*N29))</f>
        <v>1080</v>
      </c>
      <c r="P29" s="15">
        <f>IF(OR(N29="",O29=""),"",G29-Tabela62[[#This Row],[Valor Pago]])</f>
        <v>0</v>
      </c>
      <c r="Q29" s="17">
        <f>VLOOKUP(Tabela62[[#This Row],[Nome]],Tabela6[[#All],[Nome]:[Data/conteúdo]],2,FALSE)</f>
        <v>44259</v>
      </c>
    </row>
    <row r="30" spans="3:17" x14ac:dyDescent="0.25">
      <c r="C30" s="11" t="s">
        <v>86</v>
      </c>
      <c r="D30" s="16" t="str">
        <f>IF(AND(Tabela62[[#This Row],[Status de Pgto]]="Concluído",Tabela62[[#This Row],[Status do Serviço]]="Concluído"),"Concluído",IF(O30="","",IF(G30=O30,"Finalizado","Em Andamento")))</f>
        <v>Finalizado</v>
      </c>
      <c r="E30" s="14">
        <v>1200</v>
      </c>
      <c r="F30" s="59">
        <v>0.2</v>
      </c>
      <c r="G30" s="60">
        <f>Tabela62[[#This Row],[Valor Total]]*(1-Tabela62[[#This Row],[Desconto]])</f>
        <v>960</v>
      </c>
      <c r="H30" s="60">
        <f>(SUMIFS(Tabela62[[#This Row],[Valor Final]],Tabela6[[#This Row],[Modalidade]],"Semestral")/6) + (SUMIFS(Tabela62[[#This Row],[Valor Final]],Tabela6[[#This Row],[Modalidade]],"Anual")/12) + (SUMIFS(Tabela62[[#This Row],[Valor Final]],Tabela6[[#This Row],[Modalidade]],"Bienal")/24)</f>
        <v>80</v>
      </c>
      <c r="I30" s="4" t="s">
        <v>42</v>
      </c>
      <c r="J30" s="4">
        <v>1</v>
      </c>
      <c r="K30" s="4">
        <v>1</v>
      </c>
      <c r="L30" s="4" t="s">
        <v>36</v>
      </c>
      <c r="M30" s="4" t="s">
        <v>38</v>
      </c>
      <c r="N30" s="15">
        <f>IF(G30="","",G30/J30)</f>
        <v>960</v>
      </c>
      <c r="O30" s="15">
        <f>IF(L30="Pendente",(K30-1)*N30,IF(OR(L30="PAGO",L30="Concluído"),K30*N30,(K30-1)*N30))</f>
        <v>960</v>
      </c>
      <c r="P30" s="15">
        <f>IF(OR(N30="",O30=""),"",G30-Tabela62[[#This Row],[Valor Pago]])</f>
        <v>0</v>
      </c>
      <c r="Q30" s="17">
        <f>VLOOKUP(Tabela62[[#This Row],[Nome]],Tabela6[[#All],[Nome]:[Data/conteúdo]],2,FALSE)</f>
        <v>44264</v>
      </c>
    </row>
    <row r="31" spans="3:17" x14ac:dyDescent="0.25">
      <c r="C31" s="11" t="s">
        <v>87</v>
      </c>
      <c r="D31" s="16" t="str">
        <f>IF(AND(Tabela62[[#This Row],[Status de Pgto]]="Concluído",Tabela62[[#This Row],[Status do Serviço]]="Concluído"),"Concluído",IF(O31="","",IF(G31=O31,"Finalizado","Em Andamento")))</f>
        <v>Finalizado</v>
      </c>
      <c r="E31" s="14">
        <v>690</v>
      </c>
      <c r="F31" s="59">
        <v>0.2</v>
      </c>
      <c r="G31" s="60">
        <f>Tabela62[[#This Row],[Valor Total]]*(1-Tabela62[[#This Row],[Desconto]])</f>
        <v>552</v>
      </c>
      <c r="H31" s="60">
        <f>(SUMIFS(Tabela62[[#This Row],[Valor Final]],Tabela6[[#This Row],[Modalidade]],"Semestral")/6) + (SUMIFS(Tabela62[[#This Row],[Valor Final]],Tabela6[[#This Row],[Modalidade]],"Anual")/12) + (SUMIFS(Tabela62[[#This Row],[Valor Final]],Tabela6[[#This Row],[Modalidade]],"Bienal")/24)</f>
        <v>92</v>
      </c>
      <c r="I31" s="4" t="s">
        <v>42</v>
      </c>
      <c r="J31" s="4">
        <v>1</v>
      </c>
      <c r="K31" s="4">
        <v>1</v>
      </c>
      <c r="L31" s="4" t="s">
        <v>36</v>
      </c>
      <c r="M31" s="4" t="s">
        <v>38</v>
      </c>
      <c r="N31" s="15">
        <f>IF(G31="","",G31/J31)</f>
        <v>552</v>
      </c>
      <c r="O31" s="15">
        <f>IF(L31="Pendente",(K31-1)*N31,IF(OR(L31="PAGO",L31="Concluído"),K31*N31,(K31-1)*N31))</f>
        <v>552</v>
      </c>
      <c r="P31" s="15">
        <f>IF(OR(N31="",O31=""),"",G31-Tabela62[[#This Row],[Valor Pago]])</f>
        <v>0</v>
      </c>
      <c r="Q31" s="17">
        <f>VLOOKUP(Tabela62[[#This Row],[Nome]],Tabela6[[#All],[Nome]:[Data/conteúdo]],2,FALSE)</f>
        <v>44265</v>
      </c>
    </row>
    <row r="32" spans="3:17" x14ac:dyDescent="0.25">
      <c r="C32" s="11" t="s">
        <v>89</v>
      </c>
      <c r="D32" s="16" t="str">
        <f>IF(AND(Tabela62[[#This Row],[Status de Pgto]]="Concluído",Tabela62[[#This Row],[Status do Serviço]]="Concluído"),"Concluído",IF(O32="","",IF(G32=O32,"Finalizado","Em Andamento")))</f>
        <v>Finalizado</v>
      </c>
      <c r="E32" s="14">
        <v>1200</v>
      </c>
      <c r="F32" s="59">
        <v>0.1</v>
      </c>
      <c r="G32" s="60">
        <f>Tabela62[[#This Row],[Valor Total]]*(1-Tabela62[[#This Row],[Desconto]])</f>
        <v>1080</v>
      </c>
      <c r="H32" s="60">
        <f>(SUMIFS(Tabela62[[#This Row],[Valor Final]],Tabela6[[#This Row],[Modalidade]],"Semestral")/6) + (SUMIFS(Tabela62[[#This Row],[Valor Final]],Tabela6[[#This Row],[Modalidade]],"Anual")/12) + (SUMIFS(Tabela62[[#This Row],[Valor Final]],Tabela6[[#This Row],[Modalidade]],"Bienal")/24)</f>
        <v>90</v>
      </c>
      <c r="I32" s="4" t="s">
        <v>49</v>
      </c>
      <c r="J32" s="4">
        <v>1</v>
      </c>
      <c r="K32" s="4">
        <v>1</v>
      </c>
      <c r="L32" s="4" t="s">
        <v>36</v>
      </c>
      <c r="M32" s="4" t="s">
        <v>38</v>
      </c>
      <c r="N32" s="15">
        <f>IF(G32="","",G32/J32)</f>
        <v>1080</v>
      </c>
      <c r="O32" s="15">
        <f>IF(L32="Pendente",(K32-1)*N32,IF(OR(L32="PAGO",L32="Concluído"),K32*N32,(K32-1)*N32))</f>
        <v>1080</v>
      </c>
      <c r="P32" s="15">
        <f>IF(OR(N32="",O32=""),"",G32-Tabela62[[#This Row],[Valor Pago]])</f>
        <v>0</v>
      </c>
      <c r="Q32" s="17">
        <f>VLOOKUP(Tabela62[[#This Row],[Nome]],Tabela6[[#All],[Nome]:[Data/conteúdo]],2,FALSE)</f>
        <v>44278</v>
      </c>
    </row>
    <row r="33" spans="3:17" x14ac:dyDescent="0.25">
      <c r="C33" s="11" t="s">
        <v>90</v>
      </c>
      <c r="D33" s="16" t="str">
        <f>IF(AND(Tabela62[[#This Row],[Status de Pgto]]="Concluído",Tabela62[[#This Row],[Status do Serviço]]="Concluído"),"Concluído",IF(O33="","",IF(G33=O33,"Finalizado","Em Andamento")))</f>
        <v>Em Andamento</v>
      </c>
      <c r="E33" s="14">
        <v>690</v>
      </c>
      <c r="F33" s="59">
        <v>0.13</v>
      </c>
      <c r="G33" s="60">
        <f>Tabela62[[#This Row],[Valor Total]]*(1-Tabela62[[#This Row],[Desconto]])</f>
        <v>600.29999999999995</v>
      </c>
      <c r="H33" s="60">
        <f>(SUMIFS(Tabela62[[#This Row],[Valor Final]],Tabela6[[#This Row],[Modalidade]],"Semestral")/6) + (SUMIFS(Tabela62[[#This Row],[Valor Final]],Tabela6[[#This Row],[Modalidade]],"Anual")/12) + (SUMIFS(Tabela62[[#This Row],[Valor Final]],Tabela6[[#This Row],[Modalidade]],"Bienal")/24)</f>
        <v>100.05</v>
      </c>
      <c r="I33" s="4" t="s">
        <v>35</v>
      </c>
      <c r="J33" s="4">
        <v>1</v>
      </c>
      <c r="K33" s="4">
        <v>1</v>
      </c>
      <c r="L33" s="4" t="s">
        <v>64</v>
      </c>
      <c r="M33" s="4" t="s">
        <v>38</v>
      </c>
      <c r="N33" s="15">
        <f>IF(G33="","",G33/J33)</f>
        <v>600.29999999999995</v>
      </c>
      <c r="O33" s="15">
        <f>IF(L33="Pendente",(K33-1)*N33,IF(OR(L33="PAGO",L33="Concluído"),K33*N33,(K33-1)*N33))</f>
        <v>0</v>
      </c>
      <c r="P33" s="15">
        <f>IF(OR(N33="",O33=""),"",G33-Tabela62[[#This Row],[Valor Pago]])</f>
        <v>600.29999999999995</v>
      </c>
      <c r="Q33" s="17">
        <f>VLOOKUP(Tabela62[[#This Row],[Nome]],Tabela6[[#All],[Nome]:[Data/conteúdo]],2,FALSE)</f>
        <v>44280</v>
      </c>
    </row>
    <row r="34" spans="3:17" x14ac:dyDescent="0.25">
      <c r="C34" s="11" t="s">
        <v>83</v>
      </c>
      <c r="D34" s="105" t="str">
        <f>IF(AND(Tabela62[[#This Row],[Status de Pgto]]="Concluído",Tabela62[[#This Row],[Status do Serviço]]="Concluído"),"Concluído",IF(O34="","",IF(G34=O34,"Finalizado","Em Andamento")))</f>
        <v>Finalizado</v>
      </c>
      <c r="E34" s="106">
        <v>1200</v>
      </c>
      <c r="F34" s="107">
        <v>0.1</v>
      </c>
      <c r="G34" s="108">
        <f>Tabela62[[#This Row],[Valor Total]]*(1-Tabela62[[#This Row],[Desconto]])</f>
        <v>1080</v>
      </c>
      <c r="H34" s="108">
        <f>(SUMIFS(Tabela62[[#This Row],[Valor Final]],Tabela6[[#This Row],[Modalidade]],"Semestral")/6) + (SUMIFS(Tabela62[[#This Row],[Valor Final]],Tabela6[[#This Row],[Modalidade]],"Anual")/12) + (SUMIFS(Tabela62[[#This Row],[Valor Final]],Tabela6[[#This Row],[Modalidade]],"Bienal")/24)</f>
        <v>90</v>
      </c>
      <c r="I34" s="4" t="s">
        <v>35</v>
      </c>
      <c r="J34" s="4">
        <v>1</v>
      </c>
      <c r="K34" s="4">
        <v>1</v>
      </c>
      <c r="L34" s="4" t="s">
        <v>36</v>
      </c>
      <c r="M34" s="4" t="s">
        <v>38</v>
      </c>
      <c r="N34" s="15">
        <f>IF(G34="","",G34/J34)</f>
        <v>1080</v>
      </c>
      <c r="O34" s="15">
        <f>IF(L34="Pendente",(K34-1)*N34,IF(OR(L34="PAGO",L34="Concluído"),K34*N34,(K34-1)*N34))</f>
        <v>1080</v>
      </c>
      <c r="P34" s="15">
        <f>IF(OR(N34="",O34=""),"",G34-Tabela62[[#This Row],[Valor Pago]])</f>
        <v>0</v>
      </c>
      <c r="Q34" s="17">
        <f>VLOOKUP(Tabela62[[#This Row],[Nome]],Tabela6[[#All],[Nome]:[Data/conteúdo]],2,FALSE)</f>
        <v>44284</v>
      </c>
    </row>
    <row r="35" spans="3:17" x14ac:dyDescent="0.25">
      <c r="C35" s="11" t="s">
        <v>92</v>
      </c>
      <c r="D35" s="16" t="str">
        <f>IF(AND(Tabela62[[#This Row],[Status de Pgto]]="Concluído",Tabela62[[#This Row],[Status do Serviço]]="Concluído"),"Concluído",IF(O35="","",IF(G35=O35,"Finalizado","Em Andamento")))</f>
        <v>Em Andamento</v>
      </c>
      <c r="E35" s="14">
        <v>1200</v>
      </c>
      <c r="F35" s="59">
        <v>0</v>
      </c>
      <c r="G35" s="60">
        <f>Tabela62[[#This Row],[Valor Total]]*(1-Tabela62[[#This Row],[Desconto]])</f>
        <v>1200</v>
      </c>
      <c r="H35" s="60">
        <f>(SUMIFS(Tabela62[[#This Row],[Valor Final]],Tabela6[[#This Row],[Modalidade]],"Semestral")/6) + (SUMIFS(Tabela62[[#This Row],[Valor Final]],Tabela6[[#This Row],[Modalidade]],"Anual")/12) + (SUMIFS(Tabela62[[#This Row],[Valor Final]],Tabela6[[#This Row],[Modalidade]],"Bienal")/24)</f>
        <v>100</v>
      </c>
      <c r="I35" s="4" t="s">
        <v>49</v>
      </c>
      <c r="J35" s="4">
        <v>1</v>
      </c>
      <c r="K35" s="4">
        <v>1</v>
      </c>
      <c r="L35" s="4" t="s">
        <v>64</v>
      </c>
      <c r="M35" s="4" t="s">
        <v>38</v>
      </c>
      <c r="N35" s="15">
        <f>IF(G35="","",G35/J35)</f>
        <v>1200</v>
      </c>
      <c r="O35" s="15">
        <f>IF(L35="Pendente",(K35-1)*N35,IF(OR(L35="PAGO",L35="Concluído"),K35*N35,(K35-1)*N35))</f>
        <v>0</v>
      </c>
      <c r="P35" s="15">
        <f>IF(OR(N35="",O35=""),"",G35-Tabela62[[#This Row],[Valor Pago]])</f>
        <v>1200</v>
      </c>
      <c r="Q35" s="17">
        <f>VLOOKUP(Tabela62[[#This Row],[Nome]],Tabela6[[#All],[Nome]:[Data/conteúdo]],2,FALSE)</f>
        <v>44309</v>
      </c>
    </row>
  </sheetData>
  <mergeCells count="2">
    <mergeCell ref="D4:J5"/>
    <mergeCell ref="K4:O5"/>
  </mergeCells>
  <phoneticPr fontId="10" type="noConversion"/>
  <conditionalFormatting sqref="D13:D35">
    <cfRule type="cellIs" dxfId="290" priority="5" operator="equal">
      <formula>"Concluído"</formula>
    </cfRule>
    <cfRule type="cellIs" dxfId="289" priority="14" operator="equal">
      <formula>"Finalizado"</formula>
    </cfRule>
    <cfRule type="cellIs" dxfId="288" priority="15" operator="equal">
      <formula>"Pendente"</formula>
    </cfRule>
  </conditionalFormatting>
  <conditionalFormatting sqref="L13:M35">
    <cfRule type="cellIs" dxfId="287" priority="6" operator="equal">
      <formula>"Concluído"</formula>
    </cfRule>
    <cfRule type="cellIs" dxfId="286" priority="12" operator="equal">
      <formula>"Pendente"</formula>
    </cfRule>
    <cfRule type="cellIs" dxfId="285" priority="13" operator="equal">
      <formula>"Pago"</formula>
    </cfRule>
  </conditionalFormatting>
  <conditionalFormatting sqref="L13:M35">
    <cfRule type="cellIs" dxfId="284" priority="10" operator="equal">
      <formula>"Próximo Mês"</formula>
    </cfRule>
    <cfRule type="cellIs" dxfId="283" priority="11" operator="equal">
      <formula>"Atrasado"</formula>
    </cfRule>
  </conditionalFormatting>
  <conditionalFormatting sqref="D13:D35 M13:M35">
    <cfRule type="cellIs" dxfId="282" priority="7" operator="equal">
      <formula>"Em Andamento"</formula>
    </cfRule>
  </conditionalFormatting>
  <conditionalFormatting sqref="C13:P35">
    <cfRule type="expression" dxfId="281" priority="16">
      <formula>$D13="Concluído"</formula>
    </cfRule>
  </conditionalFormatting>
  <conditionalFormatting sqref="M13:M35">
    <cfRule type="cellIs" dxfId="280" priority="3" operator="equal">
      <formula>"Não Iniciado"</formula>
    </cfRule>
    <cfRule type="cellIs" dxfId="279" priority="4" operator="equal">
      <formula>"Iniciado"</formula>
    </cfRule>
  </conditionalFormatting>
  <conditionalFormatting sqref="Q13:Q35">
    <cfRule type="expression" dxfId="278" priority="1">
      <formula>$H13="Concluído"</formula>
    </cfRule>
  </conditionalFormatting>
  <dataValidations count="3">
    <dataValidation type="list" allowBlank="1" showInputMessage="1" showErrorMessage="1" sqref="I13:I35" xr:uid="{6AB73B85-6126-47AD-AB82-A3A3DA743A4C}">
      <formula1>"Cartão,Dinheiro,Cheque,Pix"</formula1>
    </dataValidation>
    <dataValidation type="list" allowBlank="1" showInputMessage="1" showErrorMessage="1" sqref="L13:L35" xr:uid="{281301FB-737F-4FE0-A2EF-D536E9CE3617}">
      <formula1>"Pago,Pendente,Atrasado,Concluído"</formula1>
    </dataValidation>
    <dataValidation type="list" allowBlank="1" showInputMessage="1" showErrorMessage="1" sqref="M13:M35" xr:uid="{5AD4CA70-F2CC-4F13-95FC-0BE0CBC0125D}">
      <formula1>"Não Iniciado,Em Andamento,Concluído"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AC4CE6-8CC2-4527-BD04-EAFAF5FCCA29}">
  <sheetPr codeName="Planilha4"/>
  <dimension ref="A1:U32"/>
  <sheetViews>
    <sheetView zoomScaleNormal="100" workbookViewId="0"/>
  </sheetViews>
  <sheetFormatPr defaultColWidth="0" defaultRowHeight="15" zeroHeight="1" x14ac:dyDescent="0.25"/>
  <cols>
    <col min="1" max="1" width="9.140625" customWidth="1"/>
    <col min="2" max="9" width="9.140625" style="2" customWidth="1"/>
    <col min="10" max="10" width="9.28515625" style="2" customWidth="1"/>
    <col min="11" max="21" width="9.140625" style="2" customWidth="1"/>
    <col min="22" max="16384" width="9.140625" hidden="1"/>
  </cols>
  <sheetData>
    <row r="1" spans="1:1" x14ac:dyDescent="0.25">
      <c r="A1" s="2"/>
    </row>
    <row r="2" spans="1:1" x14ac:dyDescent="0.25">
      <c r="A2" s="2"/>
    </row>
    <row r="3" spans="1:1" x14ac:dyDescent="0.25">
      <c r="A3" s="2"/>
    </row>
    <row r="4" spans="1:1" x14ac:dyDescent="0.25">
      <c r="A4" s="2"/>
    </row>
    <row r="5" spans="1:1" x14ac:dyDescent="0.25">
      <c r="A5" s="2"/>
    </row>
    <row r="6" spans="1:1" x14ac:dyDescent="0.25">
      <c r="A6" s="2"/>
    </row>
    <row r="7" spans="1:1" x14ac:dyDescent="0.25">
      <c r="A7" s="2"/>
    </row>
    <row r="8" spans="1:1" x14ac:dyDescent="0.25">
      <c r="A8" s="2"/>
    </row>
    <row r="9" spans="1:1" x14ac:dyDescent="0.25">
      <c r="A9" s="2"/>
    </row>
    <row r="10" spans="1:1" x14ac:dyDescent="0.25">
      <c r="A10" s="2"/>
    </row>
    <row r="11" spans="1:1" x14ac:dyDescent="0.25">
      <c r="A11" s="2"/>
    </row>
    <row r="12" spans="1:1" x14ac:dyDescent="0.25">
      <c r="A12" s="2"/>
    </row>
    <row r="13" spans="1:1" x14ac:dyDescent="0.25">
      <c r="A13" s="2"/>
    </row>
    <row r="14" spans="1:1" x14ac:dyDescent="0.25">
      <c r="A14" s="2"/>
    </row>
    <row r="15" spans="1:1" x14ac:dyDescent="0.25">
      <c r="A15" s="2"/>
    </row>
    <row r="16" spans="1:1" x14ac:dyDescent="0.25">
      <c r="A16" s="2"/>
    </row>
    <row r="17" spans="1:1" x14ac:dyDescent="0.25">
      <c r="A17" s="2"/>
    </row>
    <row r="18" spans="1:1" x14ac:dyDescent="0.25">
      <c r="A18" s="2"/>
    </row>
    <row r="19" spans="1:1" x14ac:dyDescent="0.25">
      <c r="A19" s="2"/>
    </row>
    <row r="20" spans="1:1" x14ac:dyDescent="0.25">
      <c r="A20" s="2"/>
    </row>
    <row r="21" spans="1:1" x14ac:dyDescent="0.25">
      <c r="A21" s="2"/>
    </row>
    <row r="22" spans="1:1" ht="12.75" customHeight="1" x14ac:dyDescent="0.25">
      <c r="A22" s="2"/>
    </row>
    <row r="23" spans="1:1" x14ac:dyDescent="0.25">
      <c r="A23" s="2"/>
    </row>
    <row r="24" spans="1:1" x14ac:dyDescent="0.25"/>
    <row r="25" spans="1:1" s="27" customFormat="1" x14ac:dyDescent="0.25"/>
    <row r="26" spans="1:1" s="27" customFormat="1" x14ac:dyDescent="0.25"/>
    <row r="27" spans="1:1" s="27" customFormat="1" x14ac:dyDescent="0.25"/>
    <row r="28" spans="1:1" s="27" customFormat="1" x14ac:dyDescent="0.25"/>
    <row r="29" spans="1:1" s="27" customFormat="1" x14ac:dyDescent="0.25"/>
    <row r="30" spans="1:1" s="27" customFormat="1" x14ac:dyDescent="0.25"/>
    <row r="31" spans="1:1" s="27" customFormat="1" x14ac:dyDescent="0.25"/>
    <row r="32" spans="1:1" s="27" customFormat="1" hidden="1" x14ac:dyDescent="0.25"/>
  </sheetData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344827-75D3-493E-A44D-9F90D184613F}">
  <sheetPr codeName="Planilha5"/>
  <dimension ref="B6:S25"/>
  <sheetViews>
    <sheetView showGridLines="0" showRowColHeaders="0" zoomScale="110" zoomScaleNormal="110" workbookViewId="0"/>
  </sheetViews>
  <sheetFormatPr defaultColWidth="8.85546875" defaultRowHeight="15" x14ac:dyDescent="0.25"/>
  <sheetData>
    <row r="6" spans="2:19" ht="15" customHeight="1" x14ac:dyDescent="0.25">
      <c r="B6" s="113" t="s">
        <v>74</v>
      </c>
      <c r="C6" s="113"/>
      <c r="D6" s="113"/>
      <c r="E6" s="113"/>
      <c r="F6" s="113"/>
      <c r="G6" s="113"/>
      <c r="H6" s="113"/>
      <c r="I6" s="113"/>
      <c r="J6" s="113"/>
      <c r="K6" s="113"/>
      <c r="L6" s="113"/>
      <c r="M6" s="113"/>
      <c r="N6" s="113"/>
      <c r="O6" s="113"/>
      <c r="P6" s="113"/>
      <c r="Q6" s="113"/>
      <c r="R6" s="113"/>
      <c r="S6" s="113"/>
    </row>
    <row r="7" spans="2:19" x14ac:dyDescent="0.25">
      <c r="B7" s="113"/>
      <c r="C7" s="113"/>
      <c r="D7" s="113"/>
      <c r="E7" s="113"/>
      <c r="F7" s="113"/>
      <c r="G7" s="113"/>
      <c r="H7" s="113"/>
      <c r="I7" s="113"/>
      <c r="J7" s="113"/>
      <c r="K7" s="113"/>
      <c r="L7" s="113"/>
      <c r="M7" s="113"/>
      <c r="N7" s="113"/>
      <c r="O7" s="113"/>
      <c r="P7" s="113"/>
      <c r="Q7" s="113"/>
      <c r="R7" s="113"/>
      <c r="S7" s="113"/>
    </row>
    <row r="8" spans="2:19" x14ac:dyDescent="0.25">
      <c r="B8" s="86"/>
      <c r="C8" s="87"/>
      <c r="D8" s="87"/>
      <c r="E8" s="87"/>
      <c r="F8" s="87"/>
      <c r="G8" s="87"/>
      <c r="H8" s="87"/>
      <c r="I8" s="87"/>
      <c r="J8" s="87"/>
      <c r="K8" s="87"/>
      <c r="L8" s="87"/>
      <c r="M8" s="87"/>
      <c r="N8" s="87"/>
      <c r="O8" s="87"/>
      <c r="P8" s="87"/>
      <c r="Q8" s="87"/>
      <c r="R8" s="87"/>
      <c r="S8" s="88"/>
    </row>
    <row r="9" spans="2:19" ht="15.75" x14ac:dyDescent="0.25">
      <c r="B9" s="89"/>
      <c r="C9" s="94" t="s">
        <v>63</v>
      </c>
      <c r="D9" s="1"/>
      <c r="E9" s="1"/>
      <c r="F9" s="1"/>
      <c r="G9" s="1"/>
      <c r="H9" s="1"/>
      <c r="I9" s="1"/>
      <c r="J9" s="95" t="s">
        <v>55</v>
      </c>
      <c r="K9" s="1"/>
      <c r="L9" s="1"/>
      <c r="M9" s="1"/>
      <c r="N9" s="1"/>
      <c r="O9" s="1"/>
      <c r="P9" s="1"/>
      <c r="Q9" s="1"/>
      <c r="R9" s="1"/>
      <c r="S9" s="90"/>
    </row>
    <row r="10" spans="2:19" x14ac:dyDescent="0.25">
      <c r="B10" s="89"/>
      <c r="C10" s="96" t="s">
        <v>71</v>
      </c>
      <c r="D10" s="1"/>
      <c r="E10" s="1"/>
      <c r="F10" s="1"/>
      <c r="G10" s="1"/>
      <c r="H10" s="1"/>
      <c r="I10" s="1"/>
      <c r="J10" s="1" t="s">
        <v>69</v>
      </c>
      <c r="K10" s="1"/>
      <c r="L10" s="1"/>
      <c r="M10" s="1"/>
      <c r="N10" s="1"/>
      <c r="O10" s="1"/>
      <c r="P10" s="1"/>
      <c r="Q10" s="1"/>
      <c r="R10" s="1"/>
      <c r="S10" s="90"/>
    </row>
    <row r="11" spans="2:19" x14ac:dyDescent="0.25">
      <c r="B11" s="89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90"/>
    </row>
    <row r="12" spans="2:19" x14ac:dyDescent="0.25">
      <c r="B12" s="89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90"/>
    </row>
    <row r="13" spans="2:19" x14ac:dyDescent="0.25">
      <c r="B13" s="89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90"/>
    </row>
    <row r="14" spans="2:19" ht="15.75" x14ac:dyDescent="0.25">
      <c r="B14" s="89"/>
      <c r="C14" s="95" t="s">
        <v>65</v>
      </c>
      <c r="D14" s="1"/>
      <c r="E14" s="1"/>
      <c r="F14" s="1"/>
      <c r="G14" s="1"/>
      <c r="H14" s="1"/>
      <c r="I14" s="1"/>
      <c r="J14" s="102" t="s">
        <v>70</v>
      </c>
      <c r="K14" s="1"/>
      <c r="L14" s="1"/>
      <c r="M14" s="1"/>
      <c r="N14" s="101"/>
      <c r="O14" s="1"/>
      <c r="P14" s="1"/>
      <c r="Q14" s="1"/>
      <c r="R14" s="1"/>
      <c r="S14" s="90"/>
    </row>
    <row r="15" spans="2:19" x14ac:dyDescent="0.25">
      <c r="B15" s="89"/>
      <c r="C15" s="97" t="s">
        <v>66</v>
      </c>
      <c r="D15" s="1"/>
      <c r="E15" s="1"/>
      <c r="F15" s="1"/>
      <c r="G15" s="1"/>
      <c r="H15" s="1"/>
      <c r="I15" s="1"/>
      <c r="J15" s="1" t="s">
        <v>73</v>
      </c>
      <c r="K15" s="1"/>
      <c r="L15" s="1"/>
      <c r="M15" s="1"/>
      <c r="N15" s="1"/>
      <c r="O15" s="1"/>
      <c r="P15" s="1"/>
      <c r="Q15" s="1"/>
      <c r="R15" s="1"/>
      <c r="S15" s="90"/>
    </row>
    <row r="16" spans="2:19" x14ac:dyDescent="0.25">
      <c r="B16" s="89"/>
      <c r="C16" s="1"/>
      <c r="D16" s="1"/>
      <c r="E16" s="1"/>
      <c r="F16" s="1"/>
      <c r="G16" s="1"/>
      <c r="H16" s="1"/>
      <c r="I16" s="1"/>
      <c r="J16" s="1" t="s">
        <v>76</v>
      </c>
      <c r="K16" s="1"/>
      <c r="L16" s="1"/>
      <c r="M16" s="1"/>
      <c r="N16" s="1"/>
      <c r="O16" s="1"/>
      <c r="P16" s="1"/>
      <c r="Q16" s="1"/>
      <c r="R16" s="1"/>
      <c r="S16" s="90"/>
    </row>
    <row r="17" spans="2:19" x14ac:dyDescent="0.25">
      <c r="B17" s="89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90"/>
    </row>
    <row r="18" spans="2:19" ht="15.75" x14ac:dyDescent="0.25">
      <c r="B18" s="89"/>
      <c r="C18" s="98" t="s">
        <v>58</v>
      </c>
      <c r="D18" s="1"/>
      <c r="E18" s="1"/>
      <c r="F18" s="1"/>
      <c r="G18" s="1"/>
      <c r="H18" s="1"/>
      <c r="I18" s="1"/>
      <c r="J18" s="103" t="s">
        <v>60</v>
      </c>
      <c r="K18" s="1"/>
      <c r="L18" s="1"/>
      <c r="M18" s="1"/>
      <c r="N18" s="1"/>
      <c r="O18" s="1"/>
      <c r="P18" s="1"/>
      <c r="Q18" s="1"/>
      <c r="R18" s="1"/>
      <c r="S18" s="90"/>
    </row>
    <row r="19" spans="2:19" x14ac:dyDescent="0.25">
      <c r="B19" s="89"/>
      <c r="C19" s="1" t="s">
        <v>75</v>
      </c>
      <c r="D19" s="1"/>
      <c r="E19" s="1"/>
      <c r="F19" s="1"/>
      <c r="G19" s="1"/>
      <c r="H19" s="1"/>
      <c r="I19" s="1"/>
      <c r="J19" s="1" t="s">
        <v>72</v>
      </c>
      <c r="K19" s="1"/>
      <c r="L19" s="1"/>
      <c r="M19" s="1"/>
      <c r="N19" s="1"/>
      <c r="O19" s="1"/>
      <c r="P19" s="1"/>
      <c r="Q19" s="1"/>
      <c r="R19" s="1"/>
      <c r="S19" s="90"/>
    </row>
    <row r="20" spans="2:19" x14ac:dyDescent="0.25">
      <c r="B20" s="89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90"/>
    </row>
    <row r="21" spans="2:19" x14ac:dyDescent="0.25">
      <c r="B21" s="89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90"/>
    </row>
    <row r="22" spans="2:19" ht="15.75" x14ac:dyDescent="0.25">
      <c r="B22" s="89"/>
      <c r="C22" s="98" t="s">
        <v>67</v>
      </c>
      <c r="D22" s="1"/>
      <c r="E22" s="1"/>
      <c r="F22" s="1"/>
      <c r="G22" s="1"/>
      <c r="H22" s="1"/>
      <c r="I22" s="1"/>
      <c r="J22" s="98" t="s">
        <v>62</v>
      </c>
      <c r="K22" s="1"/>
      <c r="L22" s="1"/>
      <c r="M22" s="1"/>
      <c r="N22" s="101"/>
      <c r="O22" s="1"/>
      <c r="P22" s="1"/>
      <c r="Q22" s="1"/>
      <c r="R22" s="1"/>
      <c r="S22" s="90"/>
    </row>
    <row r="23" spans="2:19" x14ac:dyDescent="0.25">
      <c r="B23" s="89"/>
      <c r="C23" s="1" t="s">
        <v>68</v>
      </c>
      <c r="D23" s="1"/>
      <c r="E23" s="1"/>
      <c r="F23" s="1"/>
      <c r="G23" s="1"/>
      <c r="H23" s="1"/>
      <c r="I23" s="1"/>
      <c r="J23" s="1" t="s">
        <v>77</v>
      </c>
      <c r="K23" s="1"/>
      <c r="L23" s="1"/>
      <c r="M23" s="1"/>
      <c r="N23" s="1"/>
      <c r="O23" s="1"/>
      <c r="P23" s="1"/>
      <c r="Q23" s="1"/>
      <c r="R23" s="1"/>
      <c r="S23" s="90"/>
    </row>
    <row r="24" spans="2:19" x14ac:dyDescent="0.25">
      <c r="B24" s="89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90"/>
    </row>
    <row r="25" spans="2:19" x14ac:dyDescent="0.25">
      <c r="B25" s="91"/>
      <c r="C25" s="99"/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100"/>
    </row>
  </sheetData>
  <mergeCells count="1">
    <mergeCell ref="B6:S7"/>
  </mergeCells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9FFAE9-39C4-42EC-9B21-F02EBA64EB35}">
  <sheetPr codeName="Planilha3"/>
  <dimension ref="A1:CG38"/>
  <sheetViews>
    <sheetView showGridLines="0" topLeftCell="B1" workbookViewId="0">
      <selection activeCell="CF13" sqref="CF13"/>
    </sheetView>
  </sheetViews>
  <sheetFormatPr defaultColWidth="8.85546875" defaultRowHeight="15" x14ac:dyDescent="0.25"/>
  <cols>
    <col min="1" max="2" width="11.7109375" bestFit="1" customWidth="1"/>
    <col min="4" max="4" width="9.42578125" bestFit="1" customWidth="1"/>
    <col min="5" max="5" width="24.28515625" bestFit="1" customWidth="1"/>
    <col min="6" max="6" width="21.85546875" bestFit="1" customWidth="1"/>
    <col min="7" max="8" width="18.85546875" bestFit="1" customWidth="1"/>
    <col min="9" max="10" width="10.7109375" bestFit="1" customWidth="1"/>
    <col min="11" max="11" width="18" bestFit="1" customWidth="1"/>
    <col min="12" max="12" width="26.28515625" bestFit="1" customWidth="1"/>
    <col min="13" max="14" width="3.42578125" bestFit="1" customWidth="1"/>
    <col min="15" max="15" width="10.7109375" bestFit="1" customWidth="1"/>
    <col min="16" max="16" width="20.28515625" bestFit="1" customWidth="1"/>
    <col min="17" max="17" width="26.28515625" bestFit="1" customWidth="1"/>
    <col min="18" max="18" width="3.42578125" bestFit="1" customWidth="1"/>
    <col min="20" max="20" width="20.28515625" bestFit="1" customWidth="1"/>
    <col min="21" max="21" width="26.28515625" bestFit="1" customWidth="1"/>
    <col min="24" max="24" width="20.28515625" bestFit="1" customWidth="1"/>
    <col min="25" max="25" width="21" bestFit="1" customWidth="1"/>
    <col min="26" max="26" width="19.28515625" bestFit="1" customWidth="1"/>
    <col min="27" max="27" width="23.7109375" bestFit="1" customWidth="1"/>
    <col min="28" max="28" width="20.28515625" bestFit="1" customWidth="1"/>
    <col min="29" max="29" width="21" bestFit="1" customWidth="1"/>
    <col min="30" max="30" width="20.28515625" bestFit="1" customWidth="1"/>
    <col min="31" max="31" width="22.42578125" bestFit="1" customWidth="1"/>
    <col min="32" max="32" width="24" bestFit="1" customWidth="1"/>
    <col min="34" max="34" width="18" bestFit="1" customWidth="1"/>
    <col min="35" max="35" width="21.85546875" bestFit="1" customWidth="1"/>
    <col min="36" max="37" width="3.5703125" bestFit="1" customWidth="1"/>
    <col min="38" max="39" width="10.7109375" bestFit="1" customWidth="1"/>
    <col min="41" max="41" width="26.42578125" bestFit="1" customWidth="1"/>
    <col min="42" max="42" width="21.85546875" bestFit="1" customWidth="1"/>
    <col min="43" max="43" width="8.7109375" bestFit="1" customWidth="1"/>
    <col min="44" max="44" width="3.7109375" bestFit="1" customWidth="1"/>
    <col min="45" max="45" width="7.85546875" bestFit="1" customWidth="1"/>
    <col min="46" max="46" width="10.7109375" bestFit="1" customWidth="1"/>
    <col min="48" max="48" width="23.28515625" bestFit="1" customWidth="1"/>
    <col min="49" max="49" width="19.28515625" bestFit="1" customWidth="1"/>
    <col min="50" max="50" width="32.42578125" customWidth="1"/>
    <col min="51" max="51" width="20.28515625" bestFit="1" customWidth="1"/>
    <col min="52" max="52" width="18.85546875" bestFit="1" customWidth="1"/>
    <col min="54" max="54" width="24.28515625" bestFit="1" customWidth="1"/>
    <col min="55" max="55" width="21.85546875" bestFit="1" customWidth="1"/>
    <col min="56" max="56" width="9.85546875" bestFit="1" customWidth="1"/>
    <col min="57" max="57" width="6.5703125" bestFit="1" customWidth="1"/>
    <col min="58" max="58" width="10.7109375" bestFit="1" customWidth="1"/>
    <col min="60" max="60" width="9.85546875" bestFit="1" customWidth="1"/>
    <col min="61" max="61" width="22.85546875" bestFit="1" customWidth="1"/>
    <col min="62" max="62" width="19.28515625" bestFit="1" customWidth="1"/>
    <col min="63" max="63" width="11.7109375" bestFit="1" customWidth="1"/>
    <col min="64" max="64" width="10.28515625" bestFit="1" customWidth="1"/>
    <col min="65" max="65" width="10.7109375" bestFit="1" customWidth="1"/>
    <col min="66" max="66" width="17.7109375" bestFit="1" customWidth="1"/>
    <col min="68" max="68" width="57.85546875" bestFit="1" customWidth="1"/>
    <col min="69" max="69" width="24.42578125" bestFit="1" customWidth="1"/>
    <col min="71" max="71" width="22.42578125" bestFit="1" customWidth="1"/>
    <col min="72" max="72" width="19.28515625" bestFit="1" customWidth="1"/>
    <col min="74" max="74" width="57.85546875" bestFit="1" customWidth="1"/>
    <col min="75" max="75" width="19.28515625" bestFit="1" customWidth="1"/>
    <col min="78" max="78" width="24.85546875" bestFit="1" customWidth="1"/>
    <col min="79" max="79" width="19.28515625" bestFit="1" customWidth="1"/>
    <col min="83" max="83" width="22.42578125" bestFit="1" customWidth="1"/>
    <col min="84" max="84" width="23.28515625" bestFit="1" customWidth="1"/>
    <col min="85" max="85" width="19.28515625" bestFit="1" customWidth="1"/>
  </cols>
  <sheetData>
    <row r="1" spans="1:85" ht="26.25" x14ac:dyDescent="0.25">
      <c r="A1" s="29" t="s">
        <v>3</v>
      </c>
      <c r="B1" s="30" t="s">
        <v>2</v>
      </c>
      <c r="D1" s="37" t="s">
        <v>32</v>
      </c>
      <c r="G1" s="47" t="s">
        <v>21</v>
      </c>
      <c r="K1" s="49" t="s">
        <v>19</v>
      </c>
      <c r="L1" s="47" t="s">
        <v>22</v>
      </c>
      <c r="P1" s="50" t="s">
        <v>19</v>
      </c>
      <c r="Q1" s="43" t="s">
        <v>22</v>
      </c>
      <c r="T1" s="50" t="s">
        <v>19</v>
      </c>
      <c r="U1" s="43" t="s">
        <v>22</v>
      </c>
      <c r="Y1" s="84" t="s">
        <v>54</v>
      </c>
      <c r="Z1" s="83" t="s">
        <v>38</v>
      </c>
      <c r="AD1" s="50" t="s">
        <v>19</v>
      </c>
      <c r="AE1" s="43" t="s">
        <v>23</v>
      </c>
      <c r="AH1" s="43"/>
      <c r="AI1" s="50" t="s">
        <v>26</v>
      </c>
      <c r="AJ1" s="68"/>
      <c r="AK1" s="71"/>
      <c r="AL1" s="51"/>
      <c r="AO1" s="43"/>
      <c r="AP1" s="50" t="s">
        <v>26</v>
      </c>
      <c r="AQ1" s="68"/>
      <c r="AR1" s="71"/>
      <c r="AS1" s="71"/>
      <c r="AT1" s="51"/>
      <c r="BB1" s="43"/>
      <c r="BC1" s="50" t="s">
        <v>26</v>
      </c>
      <c r="BD1" s="68"/>
      <c r="BE1" s="71"/>
      <c r="BF1" s="51"/>
      <c r="BI1" s="57" t="s">
        <v>53</v>
      </c>
      <c r="BJ1" s="51" t="s">
        <v>38</v>
      </c>
      <c r="BN1" s="43" t="s">
        <v>31</v>
      </c>
      <c r="BP1" s="75" t="s">
        <v>61</v>
      </c>
      <c r="BQ1" s="58">
        <f>(SUMIFS(Tabela62[Valor Final],Tabela62[Status Fin.],"&lt;&gt;"&amp;"Concluído",Tabela6[Modalidade],"Semestral")/6) + (SUMIFS(Tabela62[Valor Final],Tabela62[Status Fin.],"&lt;&gt;"&amp;"Concluído",Tabela6[Modalidade],"Anual")/12) + (SUMIFS(Tabela62[Valor Final],Tabela62[Status Fin.],"&lt;&gt;"&amp;"Concluído",Tabela6[Modalidade],"Bienal")/24)</f>
        <v>2137.5500000000002</v>
      </c>
      <c r="BS1" s="57" t="s">
        <v>54</v>
      </c>
      <c r="BT1" s="51" t="s">
        <v>38</v>
      </c>
      <c r="BV1" s="57" t="s">
        <v>54</v>
      </c>
      <c r="BW1" s="51" t="s">
        <v>38</v>
      </c>
      <c r="BZ1" s="57" t="s">
        <v>54</v>
      </c>
      <c r="CA1" s="51" t="s">
        <v>38</v>
      </c>
      <c r="CE1" s="57" t="s">
        <v>54</v>
      </c>
      <c r="CF1" s="51" t="s">
        <v>38</v>
      </c>
    </row>
    <row r="2" spans="1:85" ht="26.25" x14ac:dyDescent="0.25">
      <c r="A2" s="31">
        <v>690</v>
      </c>
      <c r="B2" s="32" t="s">
        <v>8</v>
      </c>
      <c r="D2" s="38">
        <f ca="1">TODAY()</f>
        <v>44330</v>
      </c>
      <c r="G2" s="46">
        <v>23</v>
      </c>
      <c r="K2" s="54" t="s">
        <v>20</v>
      </c>
      <c r="L2" s="92"/>
      <c r="P2" s="43" t="s">
        <v>64</v>
      </c>
      <c r="Q2" s="93">
        <v>2</v>
      </c>
      <c r="T2" s="43" t="s">
        <v>36</v>
      </c>
      <c r="U2" s="67">
        <v>21</v>
      </c>
      <c r="AA2" s="85" t="s">
        <v>60</v>
      </c>
      <c r="AD2" s="43" t="s">
        <v>64</v>
      </c>
      <c r="AE2" s="72">
        <v>1800.3</v>
      </c>
      <c r="AF2" s="75" t="s">
        <v>59</v>
      </c>
      <c r="AH2" s="43"/>
      <c r="AI2" s="68">
        <v>1</v>
      </c>
      <c r="AJ2" s="71">
        <v>12</v>
      </c>
      <c r="AK2" s="51">
        <v>6</v>
      </c>
      <c r="AL2" s="43" t="s">
        <v>20</v>
      </c>
      <c r="AO2" s="43"/>
      <c r="AP2" s="68" t="s">
        <v>49</v>
      </c>
      <c r="AQ2" s="71" t="s">
        <v>42</v>
      </c>
      <c r="AR2" s="71" t="s">
        <v>48</v>
      </c>
      <c r="AS2" s="51" t="s">
        <v>35</v>
      </c>
      <c r="AT2" s="43" t="s">
        <v>20</v>
      </c>
      <c r="BB2" s="43"/>
      <c r="BC2" s="68" t="s">
        <v>7</v>
      </c>
      <c r="BD2" s="71" t="s">
        <v>8</v>
      </c>
      <c r="BE2" s="51" t="s">
        <v>41</v>
      </c>
      <c r="BF2" s="43" t="s">
        <v>20</v>
      </c>
      <c r="BN2" s="48">
        <v>44958</v>
      </c>
      <c r="BP2" s="75" t="s">
        <v>50</v>
      </c>
      <c r="BQ2" s="58">
        <f>((SUMIFS(Tabela62[Valor Final],Tabela62[Status Fin.],"Em Andamento",Tabela6[Modalidade],"Semestral")/6) + (SUMIFS(Tabela62[Valor Final],Tabela62[Status Fin.],"Em Andamento",Tabela6[Modalidade],"Anual")/12) + (SUMIFS(Tabela62[Valor Final],Tabela62[Status Fin.],"Em Andamento",Tabela6[Modalidade],"Bienal")/24))/3</f>
        <v>176.68333333333331</v>
      </c>
    </row>
    <row r="3" spans="1:85" ht="26.25" x14ac:dyDescent="0.25">
      <c r="A3" s="31">
        <v>1200</v>
      </c>
      <c r="B3" s="33" t="s">
        <v>7</v>
      </c>
      <c r="M3" s="63">
        <f>IF(Parâmetros!$L$2="",0,Parâmetros!$L$2)</f>
        <v>0</v>
      </c>
      <c r="P3" s="43" t="s">
        <v>20</v>
      </c>
      <c r="Q3" s="66">
        <v>2</v>
      </c>
      <c r="R3" s="64">
        <f>IF(Parâmetros!$Q$2="",0,Parâmetros!$Q$2)</f>
        <v>2</v>
      </c>
      <c r="T3" s="43" t="s">
        <v>20</v>
      </c>
      <c r="U3" s="66">
        <v>21</v>
      </c>
      <c r="V3" s="65">
        <f>IF(Parâmetros!$U$2="",0,Parâmetros!$U$2)</f>
        <v>21</v>
      </c>
      <c r="Y3" s="43" t="s">
        <v>24</v>
      </c>
      <c r="AA3" s="58">
        <f>IF(GETPIVOTDATA("Valor da PCL",$Y$3)="",0,GETPIVOTDATA("Valor da PCL",$Y$3))</f>
        <v>426.06000000000006</v>
      </c>
      <c r="AD3" s="43" t="s">
        <v>20</v>
      </c>
      <c r="AE3" s="73">
        <v>1800.3</v>
      </c>
      <c r="AF3" s="61">
        <f>IF(GETPIVOTDATA("Valor da PCL",$AD$1)="",0,GETPIVOTDATA("Valor da PCL",$AD$1))</f>
        <v>1800.3</v>
      </c>
      <c r="AH3" s="43" t="s">
        <v>25</v>
      </c>
      <c r="AI3" s="55">
        <v>15</v>
      </c>
      <c r="AJ3" s="70">
        <v>5</v>
      </c>
      <c r="AK3" s="70">
        <v>3</v>
      </c>
      <c r="AL3" s="56">
        <v>23</v>
      </c>
      <c r="AO3" s="43" t="s">
        <v>28</v>
      </c>
      <c r="AP3" s="55">
        <v>9</v>
      </c>
      <c r="AQ3" s="70">
        <v>4</v>
      </c>
      <c r="AR3" s="70">
        <v>3</v>
      </c>
      <c r="AS3" s="70">
        <v>7</v>
      </c>
      <c r="AT3" s="56">
        <v>23</v>
      </c>
      <c r="AV3" s="43" t="s">
        <v>29</v>
      </c>
      <c r="AX3" s="82" t="s">
        <v>58</v>
      </c>
      <c r="BB3" s="43" t="s">
        <v>30</v>
      </c>
      <c r="BC3" s="52">
        <v>14</v>
      </c>
      <c r="BD3" s="69">
        <v>6</v>
      </c>
      <c r="BE3" s="69">
        <v>3</v>
      </c>
      <c r="BF3" s="53">
        <v>23</v>
      </c>
      <c r="BI3" s="43" t="s">
        <v>91</v>
      </c>
      <c r="BN3" s="62"/>
      <c r="BP3" s="75" t="s">
        <v>62</v>
      </c>
      <c r="BQ3" s="58">
        <f>(SUMIFS(Tabela62[Valor Final],Tabela62[Status Fin.],"&lt;&gt;"&amp;"Concluído",Tabela6[Modalidade],"Semestral")) + (SUMIFS(Tabela62[Valor Final],Tabela62[Status Fin.],"&lt;&gt;"&amp;"Concluído",Tabela6[Modalidade],"Anual")) + (SUMIFS(Tabela62[Valor Final],Tabela62[Status Fin.],"&lt;&gt;"&amp;"Concluído",Tabela6[Modalidade],"Bienal"))</f>
        <v>24051.3</v>
      </c>
      <c r="BS3" s="43" t="s">
        <v>57</v>
      </c>
      <c r="BV3" s="43" t="s">
        <v>61</v>
      </c>
      <c r="BZ3" s="43" t="s">
        <v>56</v>
      </c>
      <c r="CE3" s="77" t="s">
        <v>51</v>
      </c>
      <c r="CF3" s="76" t="s">
        <v>29</v>
      </c>
      <c r="CG3" s="81" t="s">
        <v>55</v>
      </c>
    </row>
    <row r="4" spans="1:85" ht="26.25" x14ac:dyDescent="0.25">
      <c r="A4" s="34">
        <v>2040</v>
      </c>
      <c r="B4" s="33" t="s">
        <v>33</v>
      </c>
      <c r="Y4" s="74">
        <v>426.06000000000006</v>
      </c>
      <c r="AH4" s="40" t="s">
        <v>27</v>
      </c>
      <c r="AI4" s="44" t="str">
        <f>MODE(Tabela62[PCL''s])&amp;" x"</f>
        <v>1 x</v>
      </c>
      <c r="AJ4" s="41"/>
      <c r="AK4" s="41"/>
      <c r="AL4" s="41"/>
      <c r="AM4" s="42"/>
      <c r="AO4" s="40" t="s">
        <v>27</v>
      </c>
      <c r="AP4" s="45" t="str">
        <f>INDEX(Tabela62[Forma de Pgto],_xlfn.MODE.SNGL(MATCH(Tabela62[Forma de Pgto],Tabela62[Forma de Pgto],0)))</f>
        <v>Cartão</v>
      </c>
      <c r="AQ4" s="41"/>
      <c r="AR4" s="41"/>
      <c r="AS4" s="41"/>
      <c r="AT4" s="42"/>
      <c r="AV4" s="74">
        <v>3490.3</v>
      </c>
      <c r="AX4" s="58">
        <f>IF(GETPIVOTDATA("Valor a Receber",$AV$3)="",0,GETPIVOTDATA("Valor a Receber",$AV$3))</f>
        <v>3490.3</v>
      </c>
      <c r="BB4" s="40" t="s">
        <v>27</v>
      </c>
      <c r="BC4" s="39" t="str">
        <f>INDEX(Tabela6[Modalidade],_xlfn.MODE.SNGL(MATCH(Tabela6[Modalidade],Tabela6[Modalidade],0)))</f>
        <v>Anual</v>
      </c>
      <c r="BD4" s="41"/>
      <c r="BE4" s="41"/>
      <c r="BF4" s="42"/>
      <c r="BI4" s="46">
        <v>23</v>
      </c>
      <c r="BS4" s="58">
        <v>4380.3</v>
      </c>
      <c r="BV4" s="58">
        <v>530.04999999999995</v>
      </c>
      <c r="BZ4" s="58">
        <v>2130.3000000000002</v>
      </c>
      <c r="CE4" s="79">
        <v>4380.3</v>
      </c>
      <c r="CF4" s="80">
        <v>3490.3</v>
      </c>
      <c r="CG4" s="80">
        <f>GETPIVOTDATA("Soma de Valor Final",$CE$3)-GETPIVOTDATA("Soma de Valor a Receber",$CE$3)</f>
        <v>890</v>
      </c>
    </row>
    <row r="5" spans="1:85" ht="26.25" x14ac:dyDescent="0.25">
      <c r="A5" s="34"/>
      <c r="B5" s="33"/>
    </row>
    <row r="6" spans="1:85" x14ac:dyDescent="0.25">
      <c r="A6" s="35"/>
      <c r="B6" s="36"/>
    </row>
    <row r="7" spans="1:85" x14ac:dyDescent="0.25">
      <c r="A7" s="12"/>
      <c r="B7" s="12"/>
    </row>
    <row r="8" spans="1:85" x14ac:dyDescent="0.25">
      <c r="BK8">
        <f>GETPIVOTDATA("Status do Serviço",$BI$3)</f>
        <v>23</v>
      </c>
    </row>
    <row r="12" spans="1:85" x14ac:dyDescent="0.25">
      <c r="G12" s="26"/>
    </row>
    <row r="13" spans="1:85" ht="26.25" x14ac:dyDescent="0.25"/>
    <row r="14" spans="1:85" ht="26.25" x14ac:dyDescent="0.25"/>
    <row r="18" spans="7:17" x14ac:dyDescent="0.25">
      <c r="J18" s="2"/>
    </row>
    <row r="21" spans="7:17" x14ac:dyDescent="0.25">
      <c r="J21" s="25"/>
      <c r="K21" s="25"/>
      <c r="L21" s="25"/>
      <c r="M21" s="25"/>
      <c r="N21" s="25"/>
      <c r="O21" s="25"/>
      <c r="P21" s="25"/>
      <c r="Q21" s="25"/>
    </row>
    <row r="26" spans="7:17" x14ac:dyDescent="0.25">
      <c r="J26" s="25"/>
      <c r="K26" s="25"/>
      <c r="L26" s="25"/>
      <c r="M26" s="25"/>
      <c r="N26" s="25"/>
      <c r="O26" s="25"/>
      <c r="P26" s="25"/>
      <c r="Q26" s="25"/>
    </row>
    <row r="29" spans="7:17" x14ac:dyDescent="0.25">
      <c r="G29" s="2"/>
      <c r="H29" s="2"/>
      <c r="I29" s="2"/>
    </row>
    <row r="30" spans="7:17" x14ac:dyDescent="0.25">
      <c r="Q30" s="2"/>
    </row>
    <row r="35" spans="13:17" x14ac:dyDescent="0.25">
      <c r="Q35" s="2"/>
    </row>
    <row r="37" spans="13:17" x14ac:dyDescent="0.25">
      <c r="N37" s="25"/>
      <c r="O37" s="25"/>
      <c r="P37" s="25"/>
      <c r="Q37" s="25"/>
    </row>
    <row r="38" spans="13:17" x14ac:dyDescent="0.25">
      <c r="M38" s="25"/>
      <c r="N38" s="25"/>
      <c r="O38" s="25"/>
      <c r="P38" s="25"/>
      <c r="Q38" s="25"/>
    </row>
  </sheetData>
  <pageMargins left="0.511811024" right="0.511811024" top="0.78740157499999996" bottom="0.78740157499999996" header="0.31496062000000002" footer="0.31496062000000002"/>
  <pageSetup paperSize="9" orientation="portrait" horizontalDpi="360" verticalDpi="360" r:id="rId17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4</vt:i4>
      </vt:variant>
    </vt:vector>
  </HeadingPairs>
  <TitlesOfParts>
    <vt:vector size="9" baseType="lpstr">
      <vt:lpstr>Cadastros</vt:lpstr>
      <vt:lpstr>Financeiro</vt:lpstr>
      <vt:lpstr>DashBoard</vt:lpstr>
      <vt:lpstr>Manual dashboard</vt:lpstr>
      <vt:lpstr>Parâmetros</vt:lpstr>
      <vt:lpstr>CMediaPCL</vt:lpstr>
      <vt:lpstr>MediaPCL</vt:lpstr>
      <vt:lpstr>SomaPCL</vt:lpstr>
      <vt:lpstr>TabelaFinanceiro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Mateus Lameu</dc:creator>
  <cp:lastModifiedBy>Lucas</cp:lastModifiedBy>
  <dcterms:created xsi:type="dcterms:W3CDTF">2020-05-27T00:09:12Z</dcterms:created>
  <dcterms:modified xsi:type="dcterms:W3CDTF">2021-05-14T18:36:32Z</dcterms:modified>
</cp:coreProperties>
</file>